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ameslee/Inspiration/ppt-st/aim/"/>
    </mc:Choice>
  </mc:AlternateContent>
  <xr:revisionPtr revIDLastSave="0" documentId="8_{1DEC4B01-1401-6645-8434-47BC95CA4DCB}" xr6:coauthVersionLast="47" xr6:coauthVersionMax="47" xr10:uidLastSave="{00000000-0000-0000-0000-000000000000}"/>
  <bookViews>
    <workbookView xWindow="0" yWindow="500" windowWidth="23260" windowHeight="12580" tabRatio="877" activeTab="3" xr2:uid="{906796C8-7F57-4530-8BA7-C95E9EEC4A44}"/>
  </bookViews>
  <sheets>
    <sheet name="DASHBOARD" sheetId="8" r:id="rId1"/>
    <sheet name="组合信息" sheetId="1" r:id="rId2"/>
    <sheet name="净值序列" sheetId="3" r:id="rId3"/>
    <sheet name="仓位序列" sheetId="4" r:id="rId4"/>
    <sheet name="产品序列" sheetId="9" r:id="rId5"/>
    <sheet name="权益分布行业" sheetId="5" r:id="rId6"/>
    <sheet name="业绩归因图" sheetId="10" r:id="rId7"/>
    <sheet name="业绩归因1" sheetId="6" r:id="rId8"/>
    <sheet name="业绩归因2" sheetId="7" r:id="rId9"/>
  </sheets>
  <definedNames>
    <definedName name="_xlnm._FilterDatabase" localSheetId="5" hidden="1">权益分布行业!$A$1:$G$1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8" l="1"/>
  <c r="A1" i="8"/>
  <c r="F2" i="5"/>
  <c r="F4" i="5"/>
  <c r="F5" i="5"/>
  <c r="F7" i="5"/>
  <c r="F6" i="5"/>
  <c r="F9" i="5"/>
  <c r="F8" i="5"/>
  <c r="F11" i="5"/>
  <c r="F10" i="5"/>
  <c r="F13" i="5"/>
  <c r="F14" i="5"/>
  <c r="F15" i="5"/>
  <c r="F20" i="5"/>
  <c r="F12" i="5"/>
  <c r="F16" i="5"/>
  <c r="F18" i="5"/>
  <c r="F17" i="5"/>
  <c r="F22" i="5"/>
  <c r="F23" i="5"/>
  <c r="F24" i="5"/>
  <c r="F21" i="5"/>
  <c r="F19" i="5"/>
  <c r="F25" i="5"/>
  <c r="F26" i="5"/>
  <c r="F28" i="5"/>
  <c r="F27" i="5"/>
  <c r="F29" i="5"/>
  <c r="F30" i="5"/>
  <c r="F31" i="5"/>
  <c r="F32" i="5"/>
  <c r="F33" i="5"/>
  <c r="F3" i="5"/>
  <c r="D16" i="9"/>
  <c r="D18" i="9"/>
  <c r="D20" i="9"/>
  <c r="D24" i="9"/>
  <c r="D26" i="9"/>
  <c r="D32" i="9"/>
  <c r="D34" i="9"/>
  <c r="D44" i="9"/>
  <c r="D48" i="9"/>
  <c r="D50" i="9"/>
  <c r="D52" i="9"/>
  <c r="D56" i="9"/>
  <c r="D58" i="9"/>
  <c r="D60" i="9"/>
  <c r="D66" i="9"/>
  <c r="D72" i="9"/>
  <c r="D74" i="9"/>
  <c r="D76" i="9"/>
  <c r="D88" i="9"/>
  <c r="D90" i="9"/>
  <c r="D92" i="9"/>
  <c r="D98" i="9"/>
  <c r="D100" i="9"/>
  <c r="D104" i="9"/>
  <c r="D106" i="9"/>
  <c r="D108" i="9"/>
  <c r="D112" i="9"/>
  <c r="D114" i="9"/>
  <c r="D116" i="9"/>
  <c r="D122" i="9"/>
  <c r="D124" i="9"/>
  <c r="D128" i="9"/>
  <c r="D130" i="9"/>
  <c r="D132" i="9"/>
  <c r="D136" i="9"/>
  <c r="D138" i="9"/>
  <c r="D140" i="9"/>
  <c r="D146" i="9"/>
  <c r="D148" i="9"/>
  <c r="D154" i="9"/>
  <c r="D162" i="9"/>
  <c r="D164" i="9"/>
  <c r="D172" i="9"/>
  <c r="D178" i="9"/>
  <c r="D186" i="9"/>
  <c r="D188" i="9"/>
  <c r="D192" i="9"/>
  <c r="D194" i="9"/>
  <c r="D202" i="9"/>
  <c r="D210" i="9"/>
  <c r="D47" i="9"/>
  <c r="D67" i="9"/>
  <c r="D87" i="9"/>
  <c r="D107" i="9"/>
  <c r="D152" i="9"/>
  <c r="D167" i="9"/>
  <c r="D187" i="9"/>
  <c r="D69" i="9"/>
  <c r="D84" i="9"/>
  <c r="D94" i="9"/>
  <c r="D109" i="9"/>
  <c r="D149" i="9"/>
  <c r="D170" i="9"/>
  <c r="D4" i="9"/>
  <c r="D14" i="9"/>
  <c r="D30" i="9"/>
  <c r="D36" i="9"/>
  <c r="D46" i="9"/>
  <c r="D62" i="9"/>
  <c r="D68" i="9"/>
  <c r="D78" i="9"/>
  <c r="D82" i="9"/>
  <c r="D110" i="9"/>
  <c r="D126" i="9"/>
  <c r="D142" i="9"/>
  <c r="D158" i="9"/>
  <c r="D174" i="9"/>
  <c r="D180" i="9"/>
  <c r="D190" i="9"/>
  <c r="D206" i="9"/>
  <c r="D3" i="9"/>
  <c r="D5" i="9"/>
  <c r="D6" i="9"/>
  <c r="D7" i="9"/>
  <c r="D8" i="9"/>
  <c r="D9" i="9"/>
  <c r="D10" i="9"/>
  <c r="D11" i="9"/>
  <c r="D12" i="9"/>
  <c r="D13" i="9"/>
  <c r="D15" i="9"/>
  <c r="D17" i="9"/>
  <c r="D19" i="9"/>
  <c r="D21" i="9"/>
  <c r="D22" i="9"/>
  <c r="D23" i="9"/>
  <c r="D25" i="9"/>
  <c r="D27" i="9"/>
  <c r="D28" i="9"/>
  <c r="D29" i="9"/>
  <c r="D31" i="9"/>
  <c r="D33" i="9"/>
  <c r="D35" i="9"/>
  <c r="D37" i="9"/>
  <c r="D38" i="9"/>
  <c r="D39" i="9"/>
  <c r="D40" i="9"/>
  <c r="D41" i="9"/>
  <c r="D42" i="9"/>
  <c r="D43" i="9"/>
  <c r="D45" i="9"/>
  <c r="D49" i="9"/>
  <c r="D51" i="9"/>
  <c r="D53" i="9"/>
  <c r="D54" i="9"/>
  <c r="D55" i="9"/>
  <c r="D57" i="9"/>
  <c r="D59" i="9"/>
  <c r="D61" i="9"/>
  <c r="D63" i="9"/>
  <c r="D64" i="9"/>
  <c r="D65" i="9"/>
  <c r="D70" i="9"/>
  <c r="D71" i="9"/>
  <c r="D73" i="9"/>
  <c r="D75" i="9"/>
  <c r="D77" i="9"/>
  <c r="D79" i="9"/>
  <c r="D80" i="9"/>
  <c r="D81" i="9"/>
  <c r="D83" i="9"/>
  <c r="D85" i="9"/>
  <c r="D86" i="9"/>
  <c r="D89" i="9"/>
  <c r="D91" i="9"/>
  <c r="D93" i="9"/>
  <c r="D95" i="9"/>
  <c r="D96" i="9"/>
  <c r="D97" i="9"/>
  <c r="D99" i="9"/>
  <c r="D101" i="9"/>
  <c r="D102" i="9"/>
  <c r="D103" i="9"/>
  <c r="D105" i="9"/>
  <c r="D111" i="9"/>
  <c r="D113" i="9"/>
  <c r="D115" i="9"/>
  <c r="D117" i="9"/>
  <c r="D118" i="9"/>
  <c r="D119" i="9"/>
  <c r="D120" i="9"/>
  <c r="D121" i="9"/>
  <c r="D123" i="9"/>
  <c r="D125" i="9"/>
  <c r="D127" i="9"/>
  <c r="D129" i="9"/>
  <c r="D131" i="9"/>
  <c r="D133" i="9"/>
  <c r="D134" i="9"/>
  <c r="D135" i="9"/>
  <c r="D137" i="9"/>
  <c r="D139" i="9"/>
  <c r="D141" i="9"/>
  <c r="D143" i="9"/>
  <c r="D144" i="9"/>
  <c r="D145" i="9"/>
  <c r="D147" i="9"/>
  <c r="D150" i="9"/>
  <c r="D151" i="9"/>
  <c r="D153" i="9"/>
  <c r="D155" i="9"/>
  <c r="D156" i="9"/>
  <c r="D157" i="9"/>
  <c r="D159" i="9"/>
  <c r="D160" i="9"/>
  <c r="D161" i="9"/>
  <c r="D163" i="9"/>
  <c r="D165" i="9"/>
  <c r="D166" i="9"/>
  <c r="D168" i="9"/>
  <c r="D169" i="9"/>
  <c r="D171" i="9"/>
  <c r="D173" i="9"/>
  <c r="D175" i="9"/>
  <c r="D176" i="9"/>
  <c r="D177" i="9"/>
  <c r="D179" i="9"/>
  <c r="D181" i="9"/>
  <c r="D182" i="9"/>
  <c r="D183" i="9"/>
  <c r="D184" i="9"/>
  <c r="D185" i="9"/>
  <c r="D189" i="9"/>
  <c r="D191" i="9"/>
  <c r="D193" i="9"/>
  <c r="D195" i="9"/>
  <c r="D196" i="9"/>
  <c r="D197" i="9"/>
  <c r="D198" i="9"/>
  <c r="D199" i="9"/>
  <c r="D200" i="9"/>
  <c r="D201" i="9"/>
  <c r="D203" i="9"/>
  <c r="D204" i="9"/>
  <c r="D205" i="9"/>
  <c r="D207" i="9"/>
  <c r="D208" i="9"/>
  <c r="D209" i="9"/>
  <c r="D211" i="9"/>
  <c r="D212" i="9"/>
  <c r="D213" i="9"/>
  <c r="D214" i="9"/>
  <c r="D215" i="9"/>
  <c r="D216" i="9"/>
  <c r="D217" i="9"/>
  <c r="D2" i="9"/>
  <c r="E8" i="8"/>
  <c r="D8" i="8"/>
  <c r="C8" i="8"/>
  <c r="B8" i="8"/>
  <c r="E5" i="8"/>
  <c r="D5" i="8"/>
  <c r="C5" i="8"/>
  <c r="B5" i="8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AD9A9-F633-4CD6-8EF7-78DA1FEA8B79}" keepAlive="1" name="查询 - e2p" description="与工作簿中“e2p”查询的连接。" type="5" refreshedVersion="0" background="1">
    <dbPr connection="Provider=Microsoft.Mashup.OleDb.1;Data Source=$Workbook$;Location=e2p;Extended Properties=&quot;&quot;" command="SELECT * FROM [e2p]"/>
  </connection>
</connections>
</file>

<file path=xl/sharedStrings.xml><?xml version="1.0" encoding="utf-8"?>
<sst xmlns="http://schemas.openxmlformats.org/spreadsheetml/2006/main" count="231" uniqueCount="141">
  <si>
    <t>组合信息</t>
    <phoneticPr fontId="2" type="noConversion"/>
  </si>
  <si>
    <t>组合代码</t>
    <phoneticPr fontId="2" type="noConversion"/>
  </si>
  <si>
    <t>组合成立时间</t>
    <phoneticPr fontId="2" type="noConversion"/>
  </si>
  <si>
    <t>数据日期</t>
  </si>
  <si>
    <t>单位净值</t>
  </si>
  <si>
    <t>沪深300指数(收盘价)</t>
  </si>
  <si>
    <t>权益仓位(穿透)</t>
  </si>
  <si>
    <t>成本估值占比(穿透)</t>
  </si>
  <si>
    <t>中债新综合总财富指数(收盘价)</t>
  </si>
  <si>
    <t>杠杆</t>
  </si>
  <si>
    <t>久期</t>
  </si>
  <si>
    <t>行业名称（申万一级）</t>
  </si>
  <si>
    <t>传媒</t>
  </si>
  <si>
    <t>电力设备</t>
  </si>
  <si>
    <t>电子</t>
  </si>
  <si>
    <t>房地产</t>
  </si>
  <si>
    <t>纺织服饰</t>
  </si>
  <si>
    <t>非银金融</t>
  </si>
  <si>
    <t>钢铁</t>
  </si>
  <si>
    <t>公用事业</t>
  </si>
  <si>
    <t>国防军工</t>
  </si>
  <si>
    <t>环保</t>
  </si>
  <si>
    <t>机械设备</t>
  </si>
  <si>
    <t>基础化工</t>
  </si>
  <si>
    <t>计算机</t>
  </si>
  <si>
    <t>家用电器</t>
  </si>
  <si>
    <t>建筑材料</t>
  </si>
  <si>
    <t>建筑装饰</t>
  </si>
  <si>
    <t>交通运输</t>
  </si>
  <si>
    <t>煤炭</t>
  </si>
  <si>
    <t>美容护理</t>
  </si>
  <si>
    <t>农林牧渔</t>
  </si>
  <si>
    <t>汽车</t>
  </si>
  <si>
    <t>轻工制造</t>
  </si>
  <si>
    <t>商贸零售</t>
  </si>
  <si>
    <t>社会服务</t>
  </si>
  <si>
    <t>石油石化</t>
  </si>
  <si>
    <t>食品饮料</t>
  </si>
  <si>
    <t>通信</t>
  </si>
  <si>
    <t>医药生物</t>
  </si>
  <si>
    <t>银行</t>
  </si>
  <si>
    <t>有色金属</t>
  </si>
  <si>
    <t>综合</t>
  </si>
  <si>
    <t>其他</t>
  </si>
  <si>
    <t>资产大类</t>
  </si>
  <si>
    <t>资产类别</t>
  </si>
  <si>
    <t>收益贡献(%)</t>
  </si>
  <si>
    <t>投资收益率(%)</t>
  </si>
  <si>
    <t>投资比例(%)</t>
  </si>
  <si>
    <t>投资收益(元)</t>
  </si>
  <si>
    <t>资产市值(元)</t>
  </si>
  <si>
    <t>组合期初</t>
  </si>
  <si>
    <t>组合期末</t>
  </si>
  <si>
    <t>组合平均</t>
  </si>
  <si>
    <t>权益类</t>
  </si>
  <si>
    <t>权益类小计</t>
  </si>
  <si>
    <t>股票</t>
  </si>
  <si>
    <t>其中：新股</t>
  </si>
  <si>
    <t>股票基金</t>
  </si>
  <si>
    <t>混合基金</t>
  </si>
  <si>
    <t>权益工具</t>
  </si>
  <si>
    <t>其中：港股通标的产品</t>
  </si>
  <si>
    <t>外部股票型养老金</t>
  </si>
  <si>
    <t>固收类</t>
  </si>
  <si>
    <t>固收类小计</t>
  </si>
  <si>
    <t>固定类市值总计</t>
  </si>
  <si>
    <t>企业债</t>
  </si>
  <si>
    <t>中期票据</t>
  </si>
  <si>
    <t>短期融资券</t>
  </si>
  <si>
    <t>可转债</t>
  </si>
  <si>
    <t>金融债</t>
  </si>
  <si>
    <t>债券基金</t>
  </si>
  <si>
    <t>次级债</t>
  </si>
  <si>
    <t>国债</t>
  </si>
  <si>
    <t>其他市值类</t>
  </si>
  <si>
    <t>固定成本类合计</t>
  </si>
  <si>
    <t>PPN</t>
  </si>
  <si>
    <t>非公开发行公司债</t>
  </si>
  <si>
    <t>银行存款</t>
  </si>
  <si>
    <t>信托计划</t>
  </si>
  <si>
    <t>基础设施债权计划</t>
  </si>
  <si>
    <t>其他成本类</t>
  </si>
  <si>
    <t>外部混合型养老金</t>
  </si>
  <si>
    <t>外部固收型养老金</t>
  </si>
  <si>
    <t>货币类</t>
  </si>
  <si>
    <t>货币类小计</t>
  </si>
  <si>
    <t>活期存款</t>
  </si>
  <si>
    <t>中央银行票据</t>
  </si>
  <si>
    <t>一年期以内的银行存款</t>
  </si>
  <si>
    <t>货币市场基金</t>
  </si>
  <si>
    <t>债券回购</t>
  </si>
  <si>
    <t>证券清算款</t>
  </si>
  <si>
    <t>清算备付金</t>
  </si>
  <si>
    <t>其他类</t>
  </si>
  <si>
    <t>负债类</t>
  </si>
  <si>
    <t>负债类小计</t>
  </si>
  <si>
    <t>正回购</t>
  </si>
  <si>
    <t>各类费用</t>
  </si>
  <si>
    <t>合计</t>
  </si>
  <si>
    <t>文件数据起始区间</t>
    <phoneticPr fontId="2" type="noConversion"/>
  </si>
  <si>
    <t>文件数据中止区间</t>
    <phoneticPr fontId="2" type="noConversion"/>
  </si>
  <si>
    <t>组合收益率</t>
    <phoneticPr fontId="2" type="noConversion"/>
  </si>
  <si>
    <t>XX组合</t>
    <phoneticPr fontId="2" type="noConversion"/>
  </si>
  <si>
    <t>权益产品</t>
    <phoneticPr fontId="2" type="noConversion"/>
  </si>
  <si>
    <t>固收产品</t>
    <phoneticPr fontId="2" type="noConversion"/>
  </si>
  <si>
    <t>权益类资产</t>
    <phoneticPr fontId="7" type="noConversion"/>
  </si>
  <si>
    <t>收益贡献</t>
    <phoneticPr fontId="7" type="noConversion"/>
  </si>
  <si>
    <t>收益率</t>
    <phoneticPr fontId="7" type="noConversion"/>
  </si>
  <si>
    <t>沪深300指数</t>
    <phoneticPr fontId="7" type="noConversion"/>
  </si>
  <si>
    <t>平均仓位</t>
    <phoneticPr fontId="7" type="noConversion"/>
  </si>
  <si>
    <t>固收类资产</t>
    <phoneticPr fontId="7" type="noConversion"/>
  </si>
  <si>
    <t>xxxxx</t>
    <phoneticPr fontId="2" type="noConversion"/>
  </si>
  <si>
    <t>XXXX</t>
  </si>
  <si>
    <t>区间沪深300收益率</t>
    <phoneticPr fontId="2" type="noConversion"/>
  </si>
  <si>
    <t>区间中债综合收益率</t>
    <phoneticPr fontId="2" type="noConversion"/>
  </si>
  <si>
    <t>中债综合</t>
    <phoneticPr fontId="7" type="noConversion"/>
  </si>
  <si>
    <t>流动性产品</t>
    <phoneticPr fontId="2" type="noConversion"/>
  </si>
  <si>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</si>
  <si>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</si>
  <si>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</si>
  <si>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</si>
  <si>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平均持仓</t>
    <phoneticPr fontId="2" type="noConversion"/>
  </si>
  <si>
    <t>权益仓位</t>
    <phoneticPr fontId="2" type="noConversion"/>
  </si>
  <si>
    <t>Q1收益贡献(%)</t>
    <phoneticPr fontId="2" type="noConversion"/>
  </si>
  <si>
    <t>Q2收益贡献(%)</t>
    <phoneticPr fontId="2" type="noConversion"/>
  </si>
  <si>
    <t>Q3收益贡献(%)</t>
    <phoneticPr fontId="2" type="noConversion"/>
  </si>
  <si>
    <t>Q4收益贡献(%)</t>
    <phoneticPr fontId="2" type="noConversion"/>
  </si>
  <si>
    <t>固定类市值</t>
    <phoneticPr fontId="2" type="noConversion"/>
  </si>
  <si>
    <t>固定成本类</t>
    <phoneticPr fontId="2" type="noConversion"/>
  </si>
  <si>
    <t>货币类</t>
    <phoneticPr fontId="2" type="noConversion"/>
  </si>
  <si>
    <t>权益类</t>
    <phoneticPr fontId="2" type="noConversion"/>
  </si>
  <si>
    <t>Q1收益率(%)</t>
    <phoneticPr fontId="2" type="noConversion"/>
  </si>
  <si>
    <t>Q2收益率(%)</t>
    <phoneticPr fontId="2" type="noConversion"/>
  </si>
  <si>
    <t>Q3收益率(%)</t>
    <phoneticPr fontId="2" type="noConversion"/>
  </si>
  <si>
    <t>Q4收益率(%)</t>
    <phoneticPr fontId="2" type="noConversion"/>
  </si>
  <si>
    <t>Q1平均仓位</t>
    <phoneticPr fontId="2" type="noConversion"/>
  </si>
  <si>
    <t>Q2平均仓位</t>
    <phoneticPr fontId="2" type="noConversion"/>
  </si>
  <si>
    <t>Q3平均仓位</t>
    <phoneticPr fontId="2" type="noConversion"/>
  </si>
  <si>
    <t>Q4平均仓位</t>
    <phoneticPr fontId="2" type="noConversion"/>
  </si>
  <si>
    <t>权益平均</t>
    <phoneticPr fontId="7" type="noConversion"/>
  </si>
  <si>
    <t>仓位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</si>
</sst>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000"/>
  </numFmts>
  <fonts count="1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indexed="8"/>
      <name val="等线"/>
      <family val="2"/>
      <scheme val="minor"/>
    </font>
    <font>
      <b/>
      <sz val="12"/>
      <color rgb="FF10407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104078"/>
      <name val="等线"/>
      <family val="2"/>
      <scheme val="minor"/>
    </font>
    <font>
      <b/>
      <sz val="8"/>
      <color rgb="FF104078"/>
      <name val="微软雅黑"/>
      <family val="2"/>
      <charset val="134"/>
    </font>
    <font>
      <sz val="9"/>
      <color rgb="FF104078"/>
      <name val="微软雅黑"/>
      <family val="2"/>
      <charset val="134"/>
    </font>
    <font>
      <sz val="8"/>
      <color rgb="FF104078"/>
      <name val="微软雅黑"/>
      <family val="2"/>
      <charset val="134"/>
    </font>
    <font>
      <sz val="8"/>
      <color indexed="8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b/>
      <sz val="12"/>
      <color rgb="FFC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8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4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" fontId="3" fillId="0" borderId="1" xfId="2" applyNumberFormat="1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49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31" fontId="0" fillId="0" borderId="6" xfId="0" applyNumberFormat="1" applyBorder="1">
      <alignment vertical="center"/>
    </xf>
    <xf numFmtId="10" fontId="3" fillId="0" borderId="1" xfId="1" applyNumberFormat="1" applyFont="1" applyBorder="1" applyAlignment="1">
      <alignment horizontal="center" vertical="center"/>
    </xf>
    <xf numFmtId="4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0" fontId="0" fillId="0" borderId="0" xfId="1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 vertical="center"/>
    </xf>
    <xf numFmtId="10" fontId="10" fillId="0" borderId="0" xfId="1" applyNumberFormat="1" applyFont="1" applyBorder="1" applyAlignment="1">
      <alignment horizontal="left" vertical="center"/>
    </xf>
    <xf numFmtId="10" fontId="11" fillId="0" borderId="0" xfId="1" applyNumberFormat="1" applyFont="1" applyBorder="1" applyAlignment="1">
      <alignment horizontal="left"/>
    </xf>
    <xf numFmtId="10" fontId="12" fillId="0" borderId="0" xfId="1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10" fontId="0" fillId="0" borderId="0" xfId="1" applyNumberFormat="1" applyFont="1" applyBorder="1" applyAlignment="1">
      <alignment horizontal="left"/>
    </xf>
    <xf numFmtId="9" fontId="13" fillId="0" borderId="0" xfId="1" applyFont="1" applyBorder="1" applyAlignment="1">
      <alignment horizontal="center" vertical="center"/>
    </xf>
    <xf numFmtId="0" fontId="14" fillId="0" borderId="0" xfId="0" applyFont="1">
      <alignment vertical="center"/>
    </xf>
    <xf numFmtId="10" fontId="9" fillId="0" borderId="0" xfId="1" applyNumberFormat="1" applyFont="1" applyBorder="1" applyAlignment="1">
      <alignment horizontal="left"/>
    </xf>
    <xf numFmtId="10" fontId="0" fillId="0" borderId="0" xfId="1" applyNumberFormat="1" applyFont="1" applyBorder="1">
      <alignment vertical="center"/>
    </xf>
    <xf numFmtId="0" fontId="0" fillId="0" borderId="7" xfId="0" applyBorder="1">
      <alignment vertical="center"/>
    </xf>
    <xf numFmtId="9" fontId="0" fillId="0" borderId="0" xfId="0" applyNumberFormat="1">
      <alignment vertical="center"/>
    </xf>
    <xf numFmtId="9" fontId="3" fillId="0" borderId="1" xfId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1" xfId="2" applyNumberFormat="1" applyFont="1" applyBorder="1" applyAlignment="1">
      <alignment horizontal="center" vertical="center"/>
    </xf>
    <xf numFmtId="0" fontId="5" fillId="0" borderId="3" xfId="2" applyBorder="1" applyAlignment="1"/>
    <xf numFmtId="0" fontId="5" fillId="0" borderId="2" xfId="2" applyBorder="1" applyAlignment="1"/>
    <xf numFmtId="0" fontId="4" fillId="2" borderId="1" xfId="2" applyFont="1" applyFill="1" applyBorder="1" applyAlignment="1">
      <alignment horizontal="center" vertical="center" wrapText="1"/>
    </xf>
    <xf numFmtId="0" fontId="5" fillId="0" borderId="4" xfId="2" applyBorder="1" applyAlignment="1"/>
    <xf numFmtId="0" fontId="5" fillId="0" borderId="5" xfId="2" applyBorder="1" applyAlignment="1"/>
    <xf numFmtId="49" fontId="3" fillId="0" borderId="11" xfId="2" applyNumberFormat="1" applyFont="1" applyBorder="1" applyAlignment="1">
      <alignment horizontal="center" vertical="center"/>
    </xf>
    <xf numFmtId="49" fontId="3" fillId="0" borderId="9" xfId="2" applyNumberFormat="1" applyFont="1" applyBorder="1" applyAlignment="1">
      <alignment horizontal="center" vertical="center"/>
    </xf>
    <xf numFmtId="49" fontId="3" fillId="0" borderId="10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CD66A64A-CF38-4734-B32C-568C72F1D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995258149479"/>
          <c:y val="3.8208933669892864E-2"/>
          <c:w val="0.73730009732786572"/>
          <c:h val="0.961791066330107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6-4AB3-AF24-97C07174AE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6-4AB3-AF24-97C07174AEE0}"/>
              </c:ext>
            </c:extLst>
          </c:dPt>
          <c:val>
            <c:numRef>
              <c:f>(DASHBOARD!$B$5,DASHBOARD!$B$8)</c:f>
              <c:numCache>
                <c:formatCode>0.00%</c:formatCode>
                <c:ptCount val="2"/>
                <c:pt idx="0">
                  <c:v>0.12266901605148096</c:v>
                </c:pt>
                <c:pt idx="1">
                  <c:v>0.89697688102901452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D6-4AB3-AF24-97C07174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收益率</a:t>
            </a:r>
          </a:p>
        </c:rich>
      </c:tx>
      <c:layout>
        <c:manualLayout>
          <c:xMode val="edge"/>
          <c:yMode val="edge"/>
          <c:x val="0.41877825969945398"/>
          <c:y val="2.466158288524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3776359226833463E-2"/>
          <c:y val="0.21712057572173968"/>
          <c:w val="0.83083114521149171"/>
          <c:h val="0.49406755559774057"/>
        </c:manualLayout>
      </c:layout>
      <c:areaChart>
        <c:grouping val="standard"/>
        <c:varyColors val="0"/>
        <c:ser>
          <c:idx val="1"/>
          <c:order val="1"/>
          <c:tx>
            <c:strRef>
              <c:f>净值序列!$C$1</c:f>
              <c:strCache>
                <c:ptCount val="1"/>
                <c:pt idx="0">
                  <c:v>沪深300指数(收盘价)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净值序列!$A$2:$A$217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净值序列!$C$2:$C$217</c:f>
              <c:numCache>
                <c:formatCode>#,##0.00</c:formatCode>
                <c:ptCount val="216"/>
                <c:pt idx="0">
                  <c:v>3431.1098999999999</c:v>
                </c:pt>
                <c:pt idx="1">
                  <c:v>3386.3521999999998</c:v>
                </c:pt>
                <c:pt idx="2">
                  <c:v>3378.2970999999998</c:v>
                </c:pt>
                <c:pt idx="3">
                  <c:v>3347.0518999999999</c:v>
                </c:pt>
                <c:pt idx="4">
                  <c:v>3329.1113999999998</c:v>
                </c:pt>
                <c:pt idx="5">
                  <c:v>3286.0563999999999</c:v>
                </c:pt>
                <c:pt idx="6">
                  <c:v>3292.4994000000002</c:v>
                </c:pt>
                <c:pt idx="7">
                  <c:v>3277.1289999999999</c:v>
                </c:pt>
                <c:pt idx="8">
                  <c:v>3295.6716999999999</c:v>
                </c:pt>
                <c:pt idx="9">
                  <c:v>3284.1667000000002</c:v>
                </c:pt>
                <c:pt idx="10">
                  <c:v>3280.9195</c:v>
                </c:pt>
                <c:pt idx="11">
                  <c:v>3300.8762000000002</c:v>
                </c:pt>
                <c:pt idx="12">
                  <c:v>3229.0819999999999</c:v>
                </c:pt>
                <c:pt idx="13">
                  <c:v>3274.7285999999999</c:v>
                </c:pt>
                <c:pt idx="14">
                  <c:v>3269.7763</c:v>
                </c:pt>
                <c:pt idx="15">
                  <c:v>3218.9016000000001</c:v>
                </c:pt>
                <c:pt idx="16">
                  <c:v>3231.9328999999998</c:v>
                </c:pt>
                <c:pt idx="17">
                  <c:v>3277.1089000000002</c:v>
                </c:pt>
                <c:pt idx="18">
                  <c:v>3342.9189000000001</c:v>
                </c:pt>
                <c:pt idx="19">
                  <c:v>3333.8213000000001</c:v>
                </c:pt>
                <c:pt idx="20">
                  <c:v>3303.9603999999999</c:v>
                </c:pt>
                <c:pt idx="21">
                  <c:v>3245.0387000000001</c:v>
                </c:pt>
                <c:pt idx="22">
                  <c:v>3215.3517999999999</c:v>
                </c:pt>
                <c:pt idx="23">
                  <c:v>3217.7109</c:v>
                </c:pt>
                <c:pt idx="24">
                  <c:v>3179.6275999999998</c:v>
                </c:pt>
                <c:pt idx="25">
                  <c:v>3200.4218000000001</c:v>
                </c:pt>
                <c:pt idx="26">
                  <c:v>3311.6922</c:v>
                </c:pt>
                <c:pt idx="27">
                  <c:v>3343.6302999999998</c:v>
                </c:pt>
                <c:pt idx="28">
                  <c:v>3364.9297000000001</c:v>
                </c:pt>
                <c:pt idx="29">
                  <c:v>3403.8078</c:v>
                </c:pt>
                <c:pt idx="30">
                  <c:v>3410.8542000000002</c:v>
                </c:pt>
                <c:pt idx="31">
                  <c:v>3456.8712999999998</c:v>
                </c:pt>
                <c:pt idx="32">
                  <c:v>3486.6747</c:v>
                </c:pt>
                <c:pt idx="33">
                  <c:v>3489.7415999999998</c:v>
                </c:pt>
                <c:pt idx="34">
                  <c:v>3453.3584999999998</c:v>
                </c:pt>
                <c:pt idx="35">
                  <c:v>3494.7874000000002</c:v>
                </c:pt>
                <c:pt idx="36">
                  <c:v>3450.2597999999998</c:v>
                </c:pt>
                <c:pt idx="37">
                  <c:v>3516.0826000000002</c:v>
                </c:pt>
                <c:pt idx="38">
                  <c:v>3537.8038000000001</c:v>
                </c:pt>
                <c:pt idx="39">
                  <c:v>3540.8685999999998</c:v>
                </c:pt>
                <c:pt idx="40">
                  <c:v>3565.5142999999998</c:v>
                </c:pt>
                <c:pt idx="41">
                  <c:v>3551.0481</c:v>
                </c:pt>
                <c:pt idx="42">
                  <c:v>3529.7195000000002</c:v>
                </c:pt>
                <c:pt idx="43">
                  <c:v>3544.9099000000001</c:v>
                </c:pt>
                <c:pt idx="44">
                  <c:v>3589.2635</c:v>
                </c:pt>
                <c:pt idx="45">
                  <c:v>3597.4938999999999</c:v>
                </c:pt>
                <c:pt idx="46">
                  <c:v>3572.3609999999999</c:v>
                </c:pt>
                <c:pt idx="47">
                  <c:v>3562.2229000000002</c:v>
                </c:pt>
                <c:pt idx="48">
                  <c:v>3569.9929999999999</c:v>
                </c:pt>
                <c:pt idx="49">
                  <c:v>3603.5279999999998</c:v>
                </c:pt>
                <c:pt idx="50">
                  <c:v>3577.6302999999998</c:v>
                </c:pt>
                <c:pt idx="51">
                  <c:v>3585.3838000000001</c:v>
                </c:pt>
                <c:pt idx="52">
                  <c:v>3581.0902000000001</c:v>
                </c:pt>
                <c:pt idx="53">
                  <c:v>3545.0023000000001</c:v>
                </c:pt>
                <c:pt idx="54">
                  <c:v>3525.7633999999998</c:v>
                </c:pt>
                <c:pt idx="55">
                  <c:v>3543.7467000000001</c:v>
                </c:pt>
                <c:pt idx="56">
                  <c:v>3502.7865999999999</c:v>
                </c:pt>
                <c:pt idx="57">
                  <c:v>3520.9648000000002</c:v>
                </c:pt>
                <c:pt idx="58">
                  <c:v>3537.4843000000001</c:v>
                </c:pt>
                <c:pt idx="59">
                  <c:v>3595.6466</c:v>
                </c:pt>
                <c:pt idx="60">
                  <c:v>3580.6759000000002</c:v>
                </c:pt>
                <c:pt idx="61">
                  <c:v>3567.8031000000001</c:v>
                </c:pt>
                <c:pt idx="62">
                  <c:v>3536.4077000000002</c:v>
                </c:pt>
                <c:pt idx="63">
                  <c:v>3533.4870999999998</c:v>
                </c:pt>
                <c:pt idx="64">
                  <c:v>3504.7085999999999</c:v>
                </c:pt>
                <c:pt idx="65">
                  <c:v>3504.2447000000002</c:v>
                </c:pt>
                <c:pt idx="66">
                  <c:v>3475.8389000000002</c:v>
                </c:pt>
                <c:pt idx="67">
                  <c:v>3549.0758999999998</c:v>
                </c:pt>
                <c:pt idx="68">
                  <c:v>3511.1145999999999</c:v>
                </c:pt>
                <c:pt idx="69">
                  <c:v>3565.4029999999998</c:v>
                </c:pt>
                <c:pt idx="70">
                  <c:v>3569.8018000000002</c:v>
                </c:pt>
                <c:pt idx="71">
                  <c:v>3541.6619000000001</c:v>
                </c:pt>
                <c:pt idx="72">
                  <c:v>3530.9045000000001</c:v>
                </c:pt>
                <c:pt idx="73">
                  <c:v>3506.2249000000002</c:v>
                </c:pt>
                <c:pt idx="74">
                  <c:v>3521.6219000000001</c:v>
                </c:pt>
                <c:pt idx="75">
                  <c:v>3530.2813000000001</c:v>
                </c:pt>
                <c:pt idx="76">
                  <c:v>3584.2685999999999</c:v>
                </c:pt>
                <c:pt idx="77">
                  <c:v>3623.9124000000002</c:v>
                </c:pt>
                <c:pt idx="78">
                  <c:v>3604.3942999999999</c:v>
                </c:pt>
                <c:pt idx="79">
                  <c:v>3657.8766999999998</c:v>
                </c:pt>
                <c:pt idx="80">
                  <c:v>3659.0075999999999</c:v>
                </c:pt>
                <c:pt idx="81">
                  <c:v>3630.2233000000001</c:v>
                </c:pt>
                <c:pt idx="82">
                  <c:v>3664.5610000000001</c:v>
                </c:pt>
                <c:pt idx="83">
                  <c:v>3666.2770999999998</c:v>
                </c:pt>
                <c:pt idx="84">
                  <c:v>3664.6907000000001</c:v>
                </c:pt>
                <c:pt idx="85">
                  <c:v>3657.0454</c:v>
                </c:pt>
                <c:pt idx="86">
                  <c:v>3626.0558999999998</c:v>
                </c:pt>
                <c:pt idx="87">
                  <c:v>3640.3591999999999</c:v>
                </c:pt>
                <c:pt idx="88">
                  <c:v>3677.9695999999999</c:v>
                </c:pt>
                <c:pt idx="89">
                  <c:v>3690.9623000000001</c:v>
                </c:pt>
                <c:pt idx="90">
                  <c:v>3676.1610999999998</c:v>
                </c:pt>
                <c:pt idx="91">
                  <c:v>3684.451</c:v>
                </c:pt>
                <c:pt idx="92">
                  <c:v>3641.7917000000002</c:v>
                </c:pt>
                <c:pt idx="93">
                  <c:v>3601.4753999999998</c:v>
                </c:pt>
                <c:pt idx="94">
                  <c:v>3635.7078999999999</c:v>
                </c:pt>
                <c:pt idx="95">
                  <c:v>3609.1723999999999</c:v>
                </c:pt>
                <c:pt idx="96">
                  <c:v>3613.5223000000001</c:v>
                </c:pt>
                <c:pt idx="97">
                  <c:v>3594.3121000000001</c:v>
                </c:pt>
                <c:pt idx="98">
                  <c:v>3579.9247</c:v>
                </c:pt>
                <c:pt idx="99">
                  <c:v>3588.7483000000002</c:v>
                </c:pt>
                <c:pt idx="100">
                  <c:v>3615.6714000000002</c:v>
                </c:pt>
                <c:pt idx="101">
                  <c:v>3594.7936</c:v>
                </c:pt>
                <c:pt idx="102">
                  <c:v>3592.2453999999998</c:v>
                </c:pt>
                <c:pt idx="103">
                  <c:v>3574.1143000000002</c:v>
                </c:pt>
                <c:pt idx="104">
                  <c:v>3542.8771000000002</c:v>
                </c:pt>
                <c:pt idx="105">
                  <c:v>3544.1224999999999</c:v>
                </c:pt>
                <c:pt idx="106">
                  <c:v>3526.1306</c:v>
                </c:pt>
                <c:pt idx="107">
                  <c:v>3541.5331000000001</c:v>
                </c:pt>
                <c:pt idx="108">
                  <c:v>3536.1986000000002</c:v>
                </c:pt>
                <c:pt idx="109">
                  <c:v>3545.5902000000001</c:v>
                </c:pt>
                <c:pt idx="110">
                  <c:v>3528.7489999999998</c:v>
                </c:pt>
                <c:pt idx="111">
                  <c:v>3503.2817</c:v>
                </c:pt>
                <c:pt idx="112">
                  <c:v>3495.6197999999999</c:v>
                </c:pt>
                <c:pt idx="113">
                  <c:v>3476.8101999999999</c:v>
                </c:pt>
                <c:pt idx="114">
                  <c:v>3457.9023000000002</c:v>
                </c:pt>
                <c:pt idx="115">
                  <c:v>3480.2647999999999</c:v>
                </c:pt>
                <c:pt idx="116">
                  <c:v>3454.1174999999998</c:v>
                </c:pt>
                <c:pt idx="117">
                  <c:v>3461.6570000000002</c:v>
                </c:pt>
                <c:pt idx="118">
                  <c:v>3478.1826999999998</c:v>
                </c:pt>
                <c:pt idx="119">
                  <c:v>3471.7856999999999</c:v>
                </c:pt>
                <c:pt idx="120">
                  <c:v>3463.4141</c:v>
                </c:pt>
                <c:pt idx="121">
                  <c:v>3445.8128000000002</c:v>
                </c:pt>
                <c:pt idx="122">
                  <c:v>3431.0605</c:v>
                </c:pt>
                <c:pt idx="123">
                  <c:v>3401.7604000000001</c:v>
                </c:pt>
                <c:pt idx="124">
                  <c:v>3439.8110999999999</c:v>
                </c:pt>
                <c:pt idx="125">
                  <c:v>3428.9657000000002</c:v>
                </c:pt>
                <c:pt idx="126">
                  <c:v>3468.1689999999999</c:v>
                </c:pt>
                <c:pt idx="127">
                  <c:v>3472.4014000000002</c:v>
                </c:pt>
                <c:pt idx="128">
                  <c:v>3476.2467000000001</c:v>
                </c:pt>
                <c:pt idx="129">
                  <c:v>3498.2827000000002</c:v>
                </c:pt>
                <c:pt idx="130">
                  <c:v>3501.5835999999999</c:v>
                </c:pt>
                <c:pt idx="131">
                  <c:v>3520.931</c:v>
                </c:pt>
                <c:pt idx="132">
                  <c:v>3539.0156000000002</c:v>
                </c:pt>
                <c:pt idx="133">
                  <c:v>3514.9249</c:v>
                </c:pt>
                <c:pt idx="134">
                  <c:v>3439.8779</c:v>
                </c:pt>
                <c:pt idx="135">
                  <c:v>3418.1662999999999</c:v>
                </c:pt>
                <c:pt idx="136">
                  <c:v>3399.2716</c:v>
                </c:pt>
                <c:pt idx="137">
                  <c:v>3409.2930999999999</c:v>
                </c:pt>
                <c:pt idx="138">
                  <c:v>3390.7420000000002</c:v>
                </c:pt>
                <c:pt idx="139">
                  <c:v>3369.3820999999998</c:v>
                </c:pt>
                <c:pt idx="140">
                  <c:v>3442.0844000000002</c:v>
                </c:pt>
                <c:pt idx="141">
                  <c:v>3419.2665999999999</c:v>
                </c:pt>
                <c:pt idx="142">
                  <c:v>3384.3919000000001</c:v>
                </c:pt>
                <c:pt idx="143">
                  <c:v>3343.3204999999998</c:v>
                </c:pt>
                <c:pt idx="144">
                  <c:v>3342.9789000000001</c:v>
                </c:pt>
                <c:pt idx="145">
                  <c:v>3341.489</c:v>
                </c:pt>
                <c:pt idx="146">
                  <c:v>3342.9369000000002</c:v>
                </c:pt>
                <c:pt idx="147">
                  <c:v>3331.6273999999999</c:v>
                </c:pt>
                <c:pt idx="148">
                  <c:v>3325.8645000000001</c:v>
                </c:pt>
                <c:pt idx="149">
                  <c:v>3334.3903</c:v>
                </c:pt>
                <c:pt idx="150">
                  <c:v>3309.2388999999998</c:v>
                </c:pt>
                <c:pt idx="151">
                  <c:v>3341.953</c:v>
                </c:pt>
                <c:pt idx="152">
                  <c:v>3345.634</c:v>
                </c:pt>
                <c:pt idx="153">
                  <c:v>3356.9677000000001</c:v>
                </c:pt>
                <c:pt idx="154">
                  <c:v>3332.7033999999999</c:v>
                </c:pt>
                <c:pt idx="155">
                  <c:v>3321.6350000000002</c:v>
                </c:pt>
                <c:pt idx="156">
                  <c:v>3313.1356999999998</c:v>
                </c:pt>
                <c:pt idx="157">
                  <c:v>3327.1905000000002</c:v>
                </c:pt>
                <c:pt idx="158">
                  <c:v>3324.2231000000002</c:v>
                </c:pt>
                <c:pt idx="159">
                  <c:v>3305.3337999999999</c:v>
                </c:pt>
                <c:pt idx="160">
                  <c:v>3286.4956000000002</c:v>
                </c:pt>
                <c:pt idx="161">
                  <c:v>3277.6812</c:v>
                </c:pt>
                <c:pt idx="162">
                  <c:v>3321.4322999999999</c:v>
                </c:pt>
                <c:pt idx="163">
                  <c:v>3265.011</c:v>
                </c:pt>
                <c:pt idx="164">
                  <c:v>3273.4281999999998</c:v>
                </c:pt>
                <c:pt idx="165">
                  <c:v>3252.1649000000002</c:v>
                </c:pt>
                <c:pt idx="166">
                  <c:v>3257.7577999999999</c:v>
                </c:pt>
                <c:pt idx="167">
                  <c:v>3231.3456999999999</c:v>
                </c:pt>
                <c:pt idx="168">
                  <c:v>3192.9515999999999</c:v>
                </c:pt>
                <c:pt idx="169">
                  <c:v>3195.7552000000001</c:v>
                </c:pt>
                <c:pt idx="170">
                  <c:v>3186.1298999999999</c:v>
                </c:pt>
                <c:pt idx="171">
                  <c:v>3172.4747000000002</c:v>
                </c:pt>
                <c:pt idx="172">
                  <c:v>3159.2469999999998</c:v>
                </c:pt>
                <c:pt idx="173">
                  <c:v>3171.0102000000002</c:v>
                </c:pt>
                <c:pt idx="174">
                  <c:v>3196.0356999999999</c:v>
                </c:pt>
                <c:pt idx="175">
                  <c:v>3201.0497</c:v>
                </c:pt>
                <c:pt idx="176">
                  <c:v>3212.7638999999999</c:v>
                </c:pt>
                <c:pt idx="177">
                  <c:v>3351.9090000000001</c:v>
                </c:pt>
                <c:pt idx="178">
                  <c:v>3401.5329999999999</c:v>
                </c:pt>
                <c:pt idx="179">
                  <c:v>3545.3204000000001</c:v>
                </c:pt>
                <c:pt idx="180">
                  <c:v>3703.6849000000002</c:v>
                </c:pt>
                <c:pt idx="181">
                  <c:v>4017.8544999999999</c:v>
                </c:pt>
                <c:pt idx="182">
                  <c:v>4256.0962</c:v>
                </c:pt>
                <c:pt idx="183">
                  <c:v>3955.9839000000002</c:v>
                </c:pt>
                <c:pt idx="184">
                  <c:v>3997.7878999999998</c:v>
                </c:pt>
                <c:pt idx="185">
                  <c:v>3887.1669999999999</c:v>
                </c:pt>
                <c:pt idx="186">
                  <c:v>3961.3424</c:v>
                </c:pt>
                <c:pt idx="187">
                  <c:v>3855.9949000000001</c:v>
                </c:pt>
                <c:pt idx="188">
                  <c:v>3831.5889999999999</c:v>
                </c:pt>
                <c:pt idx="189">
                  <c:v>3788.2217000000001</c:v>
                </c:pt>
                <c:pt idx="190">
                  <c:v>3925.2339999999999</c:v>
                </c:pt>
                <c:pt idx="191">
                  <c:v>3935.1974</c:v>
                </c:pt>
                <c:pt idx="192">
                  <c:v>3957.7755000000002</c:v>
                </c:pt>
                <c:pt idx="193">
                  <c:v>3973.2089000000001</c:v>
                </c:pt>
                <c:pt idx="194">
                  <c:v>3928.8334</c:v>
                </c:pt>
                <c:pt idx="195">
                  <c:v>3956.4209999999998</c:v>
                </c:pt>
                <c:pt idx="196">
                  <c:v>3964.1569</c:v>
                </c:pt>
                <c:pt idx="197">
                  <c:v>3924.6489999999999</c:v>
                </c:pt>
                <c:pt idx="198">
                  <c:v>3889.4486999999999</c:v>
                </c:pt>
                <c:pt idx="199">
                  <c:v>3891.0396000000001</c:v>
                </c:pt>
                <c:pt idx="200">
                  <c:v>3890.0203000000001</c:v>
                </c:pt>
                <c:pt idx="201">
                  <c:v>3944.7619</c:v>
                </c:pt>
                <c:pt idx="202">
                  <c:v>4044.5725000000002</c:v>
                </c:pt>
                <c:pt idx="203">
                  <c:v>4024.2831000000001</c:v>
                </c:pt>
                <c:pt idx="204">
                  <c:v>4145.6952000000001</c:v>
                </c:pt>
                <c:pt idx="205">
                  <c:v>4104.0469999999996</c:v>
                </c:pt>
                <c:pt idx="206">
                  <c:v>4131.1311999999998</c:v>
                </c:pt>
                <c:pt idx="207">
                  <c:v>4085.7429999999999</c:v>
                </c:pt>
                <c:pt idx="208">
                  <c:v>4110.8900999999996</c:v>
                </c:pt>
                <c:pt idx="209">
                  <c:v>4039.6190999999999</c:v>
                </c:pt>
                <c:pt idx="210">
                  <c:v>3968.8308000000002</c:v>
                </c:pt>
                <c:pt idx="211">
                  <c:v>3950.3806</c:v>
                </c:pt>
                <c:pt idx="212">
                  <c:v>3976.8912</c:v>
                </c:pt>
                <c:pt idx="213">
                  <c:v>3985.7727</c:v>
                </c:pt>
                <c:pt idx="214">
                  <c:v>3989.2979</c:v>
                </c:pt>
                <c:pt idx="215">
                  <c:v>3865.6988999999999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E-4A58-95BA-B5DD2E67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02847"/>
        <c:axId val="845199967"/>
      </c:areaChart>
      <c:lineChart>
        <c:grouping val="standard"/>
        <c:varyColors val="0"/>
        <c:ser>
          <c:idx val="0"/>
          <c:order val="0"/>
          <c:tx>
            <c:strRef>
              <c:f>净值序列!$B$1</c:f>
              <c:strCache>
                <c:ptCount val="1"/>
                <c:pt idx="0">
                  <c:v>组合收益率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净值序列!$A$2:$A$217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净值序列!$B$2:$B$217</c:f>
              <c:numCache>
                <c:formatCode>0.00%</c:formatCode>
                <c:ptCount val="216"/>
                <c:pt idx="0" formatCode="0.0000">
                  <c:v>0</c:v>
                </c:pt>
                <c:pt idx="1">
                  <c:v>4.5298973223273364E-3</c:v>
                </c:pt>
                <c:pt idx="2">
                  <c:v>6.2411918663178856E-3</c:v>
                </c:pt>
                <c:pt idx="3">
                  <c:v>7.3485001006643458E-3</c:v>
                </c:pt>
                <c:pt idx="4">
                  <c:v>7.6504932554861682E-3</c:v>
                </c:pt>
                <c:pt idx="5">
                  <c:v>7.0465069458425234E-3</c:v>
                </c:pt>
                <c:pt idx="6">
                  <c:v>6.3418562512584931E-3</c:v>
                </c:pt>
                <c:pt idx="7">
                  <c:v>5.9391987114958411E-3</c:v>
                </c:pt>
                <c:pt idx="8">
                  <c:v>5.3352124018524183E-3</c:v>
                </c:pt>
                <c:pt idx="9">
                  <c:v>7.0465069458425234E-3</c:v>
                </c:pt>
                <c:pt idx="10">
                  <c:v>7.3485001006643458E-3</c:v>
                </c:pt>
                <c:pt idx="11">
                  <c:v>8.5564727199516355E-3</c:v>
                </c:pt>
                <c:pt idx="12">
                  <c:v>6.9458425609019159E-3</c:v>
                </c:pt>
                <c:pt idx="13">
                  <c:v>7.0465069458425234E-3</c:v>
                </c:pt>
                <c:pt idx="14">
                  <c:v>6.3418562512584931E-3</c:v>
                </c:pt>
                <c:pt idx="15">
                  <c:v>4.429232937386729E-3</c:v>
                </c:pt>
                <c:pt idx="16">
                  <c:v>4.8318904771491589E-3</c:v>
                </c:pt>
                <c:pt idx="17">
                  <c:v>7.8518220253676052E-3</c:v>
                </c:pt>
                <c:pt idx="18">
                  <c:v>1.157640426816986E-2</c:v>
                </c:pt>
                <c:pt idx="19">
                  <c:v>1.3891685121804054E-2</c:v>
                </c:pt>
                <c:pt idx="20">
                  <c:v>1.4797664586269521E-2</c:v>
                </c:pt>
                <c:pt idx="21">
                  <c:v>1.3690356351922617E-2</c:v>
                </c:pt>
                <c:pt idx="22">
                  <c:v>1.4093013891685269E-2</c:v>
                </c:pt>
                <c:pt idx="23">
                  <c:v>1.2885041272397757E-2</c:v>
                </c:pt>
                <c:pt idx="24">
                  <c:v>1.3187034427219579E-2</c:v>
                </c:pt>
                <c:pt idx="25">
                  <c:v>1.3992349506744661E-2</c:v>
                </c:pt>
                <c:pt idx="26">
                  <c:v>1.5602979665794159E-2</c:v>
                </c:pt>
                <c:pt idx="27">
                  <c:v>1.5602979665794159E-2</c:v>
                </c:pt>
                <c:pt idx="28">
                  <c:v>1.6005637205556811E-2</c:v>
                </c:pt>
                <c:pt idx="29">
                  <c:v>1.8522246829071998E-2</c:v>
                </c:pt>
                <c:pt idx="30">
                  <c:v>1.9931548218240502E-2</c:v>
                </c:pt>
                <c:pt idx="31">
                  <c:v>2.1038856452587185E-2</c:v>
                </c:pt>
                <c:pt idx="32">
                  <c:v>2.2146164686933867E-2</c:v>
                </c:pt>
                <c:pt idx="33">
                  <c:v>2.2750150996577512E-2</c:v>
                </c:pt>
                <c:pt idx="34">
                  <c:v>2.12401852224684E-2</c:v>
                </c:pt>
                <c:pt idx="35">
                  <c:v>2.1642842762230607E-2</c:v>
                </c:pt>
                <c:pt idx="36">
                  <c:v>2.12401852224684E-2</c:v>
                </c:pt>
                <c:pt idx="37">
                  <c:v>2.1743507147171215E-2</c:v>
                </c:pt>
                <c:pt idx="38">
                  <c:v>2.2146164686933867E-2</c:v>
                </c:pt>
                <c:pt idx="39">
                  <c:v>2.3454801691161764E-2</c:v>
                </c:pt>
                <c:pt idx="40">
                  <c:v>2.4260116770686624E-2</c:v>
                </c:pt>
                <c:pt idx="41">
                  <c:v>2.4864103080330269E-2</c:v>
                </c:pt>
                <c:pt idx="42">
                  <c:v>2.5971411314676951E-2</c:v>
                </c:pt>
                <c:pt idx="43">
                  <c:v>2.6776726394201811E-2</c:v>
                </c:pt>
                <c:pt idx="44">
                  <c:v>2.6273404469498773E-2</c:v>
                </c:pt>
                <c:pt idx="45">
                  <c:v>2.4159452385746016E-2</c:v>
                </c:pt>
                <c:pt idx="46">
                  <c:v>2.4260116770686624E-2</c:v>
                </c:pt>
                <c:pt idx="47">
                  <c:v>2.5065431850211484E-2</c:v>
                </c:pt>
                <c:pt idx="48">
                  <c:v>2.5971411314676951E-2</c:v>
                </c:pt>
                <c:pt idx="49">
                  <c:v>2.6072075699617558E-2</c:v>
                </c:pt>
                <c:pt idx="50">
                  <c:v>2.5770082544795514E-2</c:v>
                </c:pt>
                <c:pt idx="51">
                  <c:v>2.6374068854439381E-2</c:v>
                </c:pt>
                <c:pt idx="52">
                  <c:v>2.6776726394201811E-2</c:v>
                </c:pt>
                <c:pt idx="53">
                  <c:v>2.6172740084558166E-2</c:v>
                </c:pt>
                <c:pt idx="54">
                  <c:v>2.6978055164083026E-2</c:v>
                </c:pt>
                <c:pt idx="55">
                  <c:v>2.6877390779142418E-2</c:v>
                </c:pt>
                <c:pt idx="56">
                  <c:v>2.6877390779142418E-2</c:v>
                </c:pt>
                <c:pt idx="57">
                  <c:v>2.7179383933964241E-2</c:v>
                </c:pt>
                <c:pt idx="58">
                  <c:v>2.838735655325153E-2</c:v>
                </c:pt>
                <c:pt idx="59">
                  <c:v>2.8488020938192138E-2</c:v>
                </c:pt>
                <c:pt idx="60">
                  <c:v>2.8991342862895175E-2</c:v>
                </c:pt>
                <c:pt idx="61">
                  <c:v>2.9897322327360421E-2</c:v>
                </c:pt>
                <c:pt idx="62">
                  <c:v>3.0903966176766717E-2</c:v>
                </c:pt>
                <c:pt idx="63">
                  <c:v>3.0501308637004287E-2</c:v>
                </c:pt>
                <c:pt idx="64">
                  <c:v>3.1709281256291577E-2</c:v>
                </c:pt>
                <c:pt idx="65">
                  <c:v>3.20112744111134E-2</c:v>
                </c:pt>
                <c:pt idx="66">
                  <c:v>3.2313267565935222E-2</c:v>
                </c:pt>
                <c:pt idx="67">
                  <c:v>3.3923897724984942E-2</c:v>
                </c:pt>
                <c:pt idx="68">
                  <c:v>3.3219247030400689E-2</c:v>
                </c:pt>
                <c:pt idx="69">
                  <c:v>3.5131870344272231E-2</c:v>
                </c:pt>
                <c:pt idx="70">
                  <c:v>3.6943829273203166E-2</c:v>
                </c:pt>
                <c:pt idx="71">
                  <c:v>3.6742500503321951E-2</c:v>
                </c:pt>
                <c:pt idx="72">
                  <c:v>3.5635192268975269E-2</c:v>
                </c:pt>
                <c:pt idx="73">
                  <c:v>3.4628548419569194E-2</c:v>
                </c:pt>
                <c:pt idx="74">
                  <c:v>3.4930541574391016E-2</c:v>
                </c:pt>
                <c:pt idx="75">
                  <c:v>3.5232534729212839E-2</c:v>
                </c:pt>
                <c:pt idx="76">
                  <c:v>3.5333199114153446E-2</c:v>
                </c:pt>
                <c:pt idx="77">
                  <c:v>3.4326555264747372E-2</c:v>
                </c:pt>
                <c:pt idx="78">
                  <c:v>3.5433863499094054E-2</c:v>
                </c:pt>
                <c:pt idx="79">
                  <c:v>3.6138514193678528E-2</c:v>
                </c:pt>
                <c:pt idx="80">
                  <c:v>3.6541171733440736E-2</c:v>
                </c:pt>
                <c:pt idx="81">
                  <c:v>3.7145158043084381E-2</c:v>
                </c:pt>
                <c:pt idx="82">
                  <c:v>3.8353130662371893E-2</c:v>
                </c:pt>
                <c:pt idx="83">
                  <c:v>3.9359774511777745E-2</c:v>
                </c:pt>
                <c:pt idx="84">
                  <c:v>3.9661767666599568E-2</c:v>
                </c:pt>
                <c:pt idx="85">
                  <c:v>3.996376082142139E-2</c:v>
                </c:pt>
                <c:pt idx="86">
                  <c:v>3.8554459432252886E-2</c:v>
                </c:pt>
                <c:pt idx="87">
                  <c:v>3.8252466277431285E-2</c:v>
                </c:pt>
                <c:pt idx="88">
                  <c:v>3.9762432051540175E-2</c:v>
                </c:pt>
                <c:pt idx="89">
                  <c:v>4.3789007449164474E-2</c:v>
                </c:pt>
                <c:pt idx="90">
                  <c:v>4.3487014294342652E-2</c:v>
                </c:pt>
                <c:pt idx="91">
                  <c:v>4.2681699214818014E-2</c:v>
                </c:pt>
                <c:pt idx="92">
                  <c:v>4.0668411516005643E-2</c:v>
                </c:pt>
                <c:pt idx="93">
                  <c:v>4.1272397825649287E-2</c:v>
                </c:pt>
                <c:pt idx="94">
                  <c:v>4.4996980068451764E-2</c:v>
                </c:pt>
                <c:pt idx="95">
                  <c:v>4.5500301993154801E-2</c:v>
                </c:pt>
                <c:pt idx="96">
                  <c:v>4.7110932152204521E-2</c:v>
                </c:pt>
                <c:pt idx="97">
                  <c:v>4.3990336219045689E-2</c:v>
                </c:pt>
                <c:pt idx="98">
                  <c:v>4.3789007449164474E-2</c:v>
                </c:pt>
                <c:pt idx="99">
                  <c:v>4.2581034829877407E-2</c:v>
                </c:pt>
                <c:pt idx="100">
                  <c:v>4.3285685524461437E-2</c:v>
                </c:pt>
                <c:pt idx="101">
                  <c:v>4.1272397825649287E-2</c:v>
                </c:pt>
                <c:pt idx="102">
                  <c:v>4.3789007449164474E-2</c:v>
                </c:pt>
                <c:pt idx="103">
                  <c:v>4.5600966378095409E-2</c:v>
                </c:pt>
                <c:pt idx="104">
                  <c:v>4.197704852023354E-2</c:v>
                </c:pt>
                <c:pt idx="105">
                  <c:v>4.5198308838332979E-2</c:v>
                </c:pt>
                <c:pt idx="106">
                  <c:v>4.2983692369639614E-2</c:v>
                </c:pt>
                <c:pt idx="107">
                  <c:v>4.157439098047111E-2</c:v>
                </c:pt>
                <c:pt idx="108">
                  <c:v>3.9259110126837138E-2</c:v>
                </c:pt>
                <c:pt idx="109">
                  <c:v>3.996376082142139E-2</c:v>
                </c:pt>
                <c:pt idx="110">
                  <c:v>4.0668411516005643E-2</c:v>
                </c:pt>
                <c:pt idx="111">
                  <c:v>4.1473726595530502E-2</c:v>
                </c:pt>
                <c:pt idx="112">
                  <c:v>4.0668411516005643E-2</c:v>
                </c:pt>
                <c:pt idx="113">
                  <c:v>3.9460438896718353E-2</c:v>
                </c:pt>
                <c:pt idx="114">
                  <c:v>3.956110328165896E-2</c:v>
                </c:pt>
                <c:pt idx="115">
                  <c:v>3.9259110126837138E-2</c:v>
                </c:pt>
                <c:pt idx="116">
                  <c:v>3.8353130662371893E-2</c:v>
                </c:pt>
                <c:pt idx="117">
                  <c:v>4.1775719750352325E-2</c:v>
                </c:pt>
                <c:pt idx="118">
                  <c:v>4.7412925307026343E-2</c:v>
                </c:pt>
                <c:pt idx="119">
                  <c:v>4.7513589691966951E-2</c:v>
                </c:pt>
                <c:pt idx="120">
                  <c:v>4.6003623917857839E-2</c:v>
                </c:pt>
                <c:pt idx="121">
                  <c:v>4.5500301993154801E-2</c:v>
                </c:pt>
                <c:pt idx="122">
                  <c:v>4.5802295147976624E-2</c:v>
                </c:pt>
                <c:pt idx="123">
                  <c:v>4.6506945842561098E-2</c:v>
                </c:pt>
                <c:pt idx="124">
                  <c:v>4.8721562311254463E-2</c:v>
                </c:pt>
                <c:pt idx="125">
                  <c:v>4.4091000603986297E-2</c:v>
                </c:pt>
                <c:pt idx="126">
                  <c:v>4.6003623917857839E-2</c:v>
                </c:pt>
                <c:pt idx="127">
                  <c:v>4.4191664988927126E-2</c:v>
                </c:pt>
                <c:pt idx="128">
                  <c:v>4.6506945842561098E-2</c:v>
                </c:pt>
                <c:pt idx="129">
                  <c:v>4.6204952687739054E-2</c:v>
                </c:pt>
                <c:pt idx="130">
                  <c:v>4.2077712905174147E-2</c:v>
                </c:pt>
                <c:pt idx="131">
                  <c:v>4.3386349909402044E-2</c:v>
                </c:pt>
                <c:pt idx="132">
                  <c:v>3.8453795047312278E-2</c:v>
                </c:pt>
                <c:pt idx="133">
                  <c:v>3.6239178578619136E-2</c:v>
                </c:pt>
                <c:pt idx="134">
                  <c:v>3.2917253875578867E-2</c:v>
                </c:pt>
                <c:pt idx="135">
                  <c:v>3.3521240185222512E-2</c:v>
                </c:pt>
                <c:pt idx="136">
                  <c:v>2.959532917253882E-2</c:v>
                </c:pt>
                <c:pt idx="137">
                  <c:v>2.9695993557479428E-2</c:v>
                </c:pt>
                <c:pt idx="138">
                  <c:v>3.2111938796054007E-2</c:v>
                </c:pt>
                <c:pt idx="139">
                  <c:v>2.9695993557479428E-2</c:v>
                </c:pt>
                <c:pt idx="140">
                  <c:v>3.1507952486410362E-2</c:v>
                </c:pt>
                <c:pt idx="141">
                  <c:v>3.2816589490638259E-2</c:v>
                </c:pt>
                <c:pt idx="142">
                  <c:v>3.120595933158854E-2</c:v>
                </c:pt>
                <c:pt idx="143">
                  <c:v>2.838735655325153E-2</c:v>
                </c:pt>
                <c:pt idx="144">
                  <c:v>2.6776726394201811E-2</c:v>
                </c:pt>
                <c:pt idx="145">
                  <c:v>2.8186027783370315E-2</c:v>
                </c:pt>
                <c:pt idx="146">
                  <c:v>2.7380712703845456E-2</c:v>
                </c:pt>
                <c:pt idx="147">
                  <c:v>2.7582041473726671E-2</c:v>
                </c:pt>
                <c:pt idx="148">
                  <c:v>2.7783370243607663E-2</c:v>
                </c:pt>
                <c:pt idx="149">
                  <c:v>2.7481377088786063E-2</c:v>
                </c:pt>
                <c:pt idx="150">
                  <c:v>2.7280048318904848E-2</c:v>
                </c:pt>
                <c:pt idx="151">
                  <c:v>2.8689349708073353E-2</c:v>
                </c:pt>
                <c:pt idx="152">
                  <c:v>2.8286692168310923E-2</c:v>
                </c:pt>
                <c:pt idx="153">
                  <c:v>2.959532917253882E-2</c:v>
                </c:pt>
                <c:pt idx="154">
                  <c:v>2.8286692168310923E-2</c:v>
                </c:pt>
                <c:pt idx="155">
                  <c:v>2.6776726394201811E-2</c:v>
                </c:pt>
                <c:pt idx="156">
                  <c:v>2.7280048318904848E-2</c:v>
                </c:pt>
                <c:pt idx="157">
                  <c:v>2.6273404469498773E-2</c:v>
                </c:pt>
                <c:pt idx="158">
                  <c:v>2.6474733239379988E-2</c:v>
                </c:pt>
                <c:pt idx="159">
                  <c:v>2.7179383933964241E-2</c:v>
                </c:pt>
                <c:pt idx="160">
                  <c:v>2.6474733239379988E-2</c:v>
                </c:pt>
                <c:pt idx="161">
                  <c:v>2.4562109925508446E-2</c:v>
                </c:pt>
                <c:pt idx="162">
                  <c:v>2.4159452385746016E-2</c:v>
                </c:pt>
                <c:pt idx="163">
                  <c:v>2.4964767465270876E-2</c:v>
                </c:pt>
                <c:pt idx="164">
                  <c:v>2.2548822226696297E-2</c:v>
                </c:pt>
                <c:pt idx="165">
                  <c:v>2.0636198912824755E-2</c:v>
                </c:pt>
                <c:pt idx="166">
                  <c:v>1.9428226293537243E-2</c:v>
                </c:pt>
                <c:pt idx="167">
                  <c:v>1.8723575598953213E-2</c:v>
                </c:pt>
                <c:pt idx="168">
                  <c:v>1.6408294745319241E-2</c:v>
                </c:pt>
                <c:pt idx="169">
                  <c:v>1.6106301590497418E-2</c:v>
                </c:pt>
                <c:pt idx="170">
                  <c:v>1.2482383732635549E-2</c:v>
                </c:pt>
                <c:pt idx="171">
                  <c:v>1.3086370042278972E-2</c:v>
                </c:pt>
                <c:pt idx="172">
                  <c:v>1.3589691966982009E-2</c:v>
                </c:pt>
                <c:pt idx="173">
                  <c:v>1.5200322126031729E-2</c:v>
                </c:pt>
                <c:pt idx="174">
                  <c:v>1.6810952285081671E-2</c:v>
                </c:pt>
                <c:pt idx="175">
                  <c:v>1.8220253674250175E-2</c:v>
                </c:pt>
                <c:pt idx="176">
                  <c:v>1.9730219448359065E-2</c:v>
                </c:pt>
                <c:pt idx="177">
                  <c:v>2.5568753774914521E-2</c:v>
                </c:pt>
                <c:pt idx="178">
                  <c:v>2.7280048318904848E-2</c:v>
                </c:pt>
                <c:pt idx="179">
                  <c:v>3.1910610026172792E-2</c:v>
                </c:pt>
                <c:pt idx="180">
                  <c:v>3.4628548419569194E-2</c:v>
                </c:pt>
                <c:pt idx="181">
                  <c:v>4.5097644453392371E-2</c:v>
                </c:pt>
                <c:pt idx="182">
                  <c:v>4.5802295147976624E-2</c:v>
                </c:pt>
                <c:pt idx="183">
                  <c:v>3.5232534729212839E-2</c:v>
                </c:pt>
                <c:pt idx="184">
                  <c:v>3.8353130662371893E-2</c:v>
                </c:pt>
                <c:pt idx="185">
                  <c:v>3.8151801892490678E-2</c:v>
                </c:pt>
                <c:pt idx="186">
                  <c:v>4.2077712905174147E-2</c:v>
                </c:pt>
                <c:pt idx="187">
                  <c:v>3.7447151197906203E-2</c:v>
                </c:pt>
                <c:pt idx="188">
                  <c:v>4.0064425206361998E-2</c:v>
                </c:pt>
                <c:pt idx="189">
                  <c:v>3.8051137507549848E-2</c:v>
                </c:pt>
                <c:pt idx="190">
                  <c:v>4.0668411516005643E-2</c:v>
                </c:pt>
                <c:pt idx="191">
                  <c:v>4.157439098047111E-2</c:v>
                </c:pt>
                <c:pt idx="192">
                  <c:v>4.2983692369639614E-2</c:v>
                </c:pt>
                <c:pt idx="193">
                  <c:v>4.3185021139520829E-2</c:v>
                </c:pt>
                <c:pt idx="194">
                  <c:v>4.2178377290114977E-2</c:v>
                </c:pt>
                <c:pt idx="195">
                  <c:v>3.996376082142139E-2</c:v>
                </c:pt>
                <c:pt idx="196">
                  <c:v>4.0567747131065035E-2</c:v>
                </c:pt>
                <c:pt idx="197">
                  <c:v>4.0064425206361998E-2</c:v>
                </c:pt>
                <c:pt idx="198">
                  <c:v>3.7950473122609241E-2</c:v>
                </c:pt>
                <c:pt idx="199">
                  <c:v>3.6843164888262558E-2</c:v>
                </c:pt>
                <c:pt idx="200">
                  <c:v>3.9863096436480783E-2</c:v>
                </c:pt>
                <c:pt idx="201">
                  <c:v>4.1272397825649287E-2</c:v>
                </c:pt>
                <c:pt idx="202">
                  <c:v>4.3688343064223867E-2</c:v>
                </c:pt>
                <c:pt idx="203">
                  <c:v>4.27823635997584E-2</c:v>
                </c:pt>
                <c:pt idx="204">
                  <c:v>4.6104288302798446E-2</c:v>
                </c:pt>
                <c:pt idx="205">
                  <c:v>4.4493658143748949E-2</c:v>
                </c:pt>
                <c:pt idx="206">
                  <c:v>4.1876384135292932E-2</c:v>
                </c:pt>
                <c:pt idx="207">
                  <c:v>3.915844574189653E-2</c:v>
                </c:pt>
                <c:pt idx="208">
                  <c:v>4.0265753976243435E-2</c:v>
                </c:pt>
                <c:pt idx="209">
                  <c:v>3.7849808737668633E-2</c:v>
                </c:pt>
                <c:pt idx="210">
                  <c:v>3.7447151197906203E-2</c:v>
                </c:pt>
                <c:pt idx="211">
                  <c:v>3.7346486812965596E-2</c:v>
                </c:pt>
                <c:pt idx="212">
                  <c:v>3.8252466277431285E-2</c:v>
                </c:pt>
                <c:pt idx="213">
                  <c:v>3.9661767666599568E-2</c:v>
                </c:pt>
                <c:pt idx="214">
                  <c:v>4.046708274612465E-2</c:v>
                </c:pt>
                <c:pt idx="215">
                  <c:v>3.5433863499094054E-2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0E-4A58-95BA-B5DD2E67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201407"/>
        <c:axId val="845203807"/>
      </c:lineChart>
      <c:dateAx>
        <c:axId val="845201407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45203807"/>
        <c:crosses val="autoZero"/>
        <c:auto val="1"/>
        <c:lblOffset val="100"/>
        <c:baseTimeUnit val="days"/>
      </c:dateAx>
      <c:valAx>
        <c:axId val="84520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45201407"/>
        <c:crosses val="autoZero"/>
        <c:crossBetween val="between"/>
      </c:valAx>
      <c:valAx>
        <c:axId val="845199967"/>
        <c:scaling>
          <c:orientation val="minMax"/>
          <c:min val="25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45202847"/>
        <c:crosses val="max"/>
        <c:crossBetween val="between"/>
      </c:valAx>
      <c:dateAx>
        <c:axId val="845202847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crossAx val="84519996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21447550488547"/>
          <c:y val="0.92011201537360354"/>
          <c:w val="0.46957087574458811"/>
          <c:h val="7.988798462639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权益仓位</a:t>
            </a:r>
            <a:r>
              <a:rPr lang="zh-CN" altLang="en-US" b="1"/>
              <a:t>（穿透）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仓位序列!$C$1</c:f>
              <c:strCache>
                <c:ptCount val="1"/>
                <c:pt idx="0">
                  <c:v>沪深300指数(收盘价)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仓位序列!$C$2:$C$217</c:f>
              <c:numCache>
                <c:formatCode>#,##0.00</c:formatCode>
                <c:ptCount val="216"/>
                <c:pt idx="0">
                  <c:v>3431.1098999999999</c:v>
                </c:pt>
                <c:pt idx="1">
                  <c:v>3386.3521999999998</c:v>
                </c:pt>
                <c:pt idx="2">
                  <c:v>3378.2970999999998</c:v>
                </c:pt>
                <c:pt idx="3">
                  <c:v>3347.0518999999999</c:v>
                </c:pt>
                <c:pt idx="4">
                  <c:v>3329.1113999999998</c:v>
                </c:pt>
                <c:pt idx="5">
                  <c:v>3286.0563999999999</c:v>
                </c:pt>
                <c:pt idx="6">
                  <c:v>3292.4994000000002</c:v>
                </c:pt>
                <c:pt idx="7">
                  <c:v>3277.1289999999999</c:v>
                </c:pt>
                <c:pt idx="8">
                  <c:v>3295.6716999999999</c:v>
                </c:pt>
                <c:pt idx="9">
                  <c:v>3284.1667000000002</c:v>
                </c:pt>
                <c:pt idx="10">
                  <c:v>3280.9195</c:v>
                </c:pt>
                <c:pt idx="11">
                  <c:v>3300.8762000000002</c:v>
                </c:pt>
                <c:pt idx="12">
                  <c:v>3229.0819999999999</c:v>
                </c:pt>
                <c:pt idx="13">
                  <c:v>3274.7285999999999</c:v>
                </c:pt>
                <c:pt idx="14">
                  <c:v>3269.7763</c:v>
                </c:pt>
                <c:pt idx="15">
                  <c:v>3218.9016000000001</c:v>
                </c:pt>
                <c:pt idx="16">
                  <c:v>3231.9328999999998</c:v>
                </c:pt>
                <c:pt idx="17">
                  <c:v>3277.1089000000002</c:v>
                </c:pt>
                <c:pt idx="18">
                  <c:v>3342.9189000000001</c:v>
                </c:pt>
                <c:pt idx="19">
                  <c:v>3333.8213000000001</c:v>
                </c:pt>
                <c:pt idx="20">
                  <c:v>3303.9603999999999</c:v>
                </c:pt>
                <c:pt idx="21">
                  <c:v>3245.0387000000001</c:v>
                </c:pt>
                <c:pt idx="22">
                  <c:v>3215.3517999999999</c:v>
                </c:pt>
                <c:pt idx="23">
                  <c:v>3217.7109</c:v>
                </c:pt>
                <c:pt idx="24">
                  <c:v>3179.6275999999998</c:v>
                </c:pt>
                <c:pt idx="25">
                  <c:v>3200.4218000000001</c:v>
                </c:pt>
                <c:pt idx="26">
                  <c:v>3311.6922</c:v>
                </c:pt>
                <c:pt idx="27">
                  <c:v>3343.6302999999998</c:v>
                </c:pt>
                <c:pt idx="28">
                  <c:v>3364.9297000000001</c:v>
                </c:pt>
                <c:pt idx="29">
                  <c:v>3403.8078</c:v>
                </c:pt>
                <c:pt idx="30">
                  <c:v>3410.8542000000002</c:v>
                </c:pt>
                <c:pt idx="31">
                  <c:v>3456.8712999999998</c:v>
                </c:pt>
                <c:pt idx="32">
                  <c:v>3486.6747</c:v>
                </c:pt>
                <c:pt idx="33">
                  <c:v>3489.7415999999998</c:v>
                </c:pt>
                <c:pt idx="34">
                  <c:v>3453.3584999999998</c:v>
                </c:pt>
                <c:pt idx="35">
                  <c:v>3494.7874000000002</c:v>
                </c:pt>
                <c:pt idx="36">
                  <c:v>3450.2597999999998</c:v>
                </c:pt>
                <c:pt idx="37">
                  <c:v>3516.0826000000002</c:v>
                </c:pt>
                <c:pt idx="38">
                  <c:v>3537.8038000000001</c:v>
                </c:pt>
                <c:pt idx="39">
                  <c:v>3540.8685999999998</c:v>
                </c:pt>
                <c:pt idx="40">
                  <c:v>3565.5142999999998</c:v>
                </c:pt>
                <c:pt idx="41">
                  <c:v>3551.0481</c:v>
                </c:pt>
                <c:pt idx="42">
                  <c:v>3529.7195000000002</c:v>
                </c:pt>
                <c:pt idx="43">
                  <c:v>3544.9099000000001</c:v>
                </c:pt>
                <c:pt idx="44">
                  <c:v>3589.2635</c:v>
                </c:pt>
                <c:pt idx="45">
                  <c:v>3597.4938999999999</c:v>
                </c:pt>
                <c:pt idx="46">
                  <c:v>3572.3609999999999</c:v>
                </c:pt>
                <c:pt idx="47">
                  <c:v>3562.2229000000002</c:v>
                </c:pt>
                <c:pt idx="48">
                  <c:v>3569.9929999999999</c:v>
                </c:pt>
                <c:pt idx="49">
                  <c:v>3603.5279999999998</c:v>
                </c:pt>
                <c:pt idx="50">
                  <c:v>3577.6302999999998</c:v>
                </c:pt>
                <c:pt idx="51">
                  <c:v>3585.3838000000001</c:v>
                </c:pt>
                <c:pt idx="52">
                  <c:v>3581.0902000000001</c:v>
                </c:pt>
                <c:pt idx="53">
                  <c:v>3545.0023000000001</c:v>
                </c:pt>
                <c:pt idx="54">
                  <c:v>3525.7633999999998</c:v>
                </c:pt>
                <c:pt idx="55">
                  <c:v>3543.7467000000001</c:v>
                </c:pt>
                <c:pt idx="56">
                  <c:v>3502.7865999999999</c:v>
                </c:pt>
                <c:pt idx="57">
                  <c:v>3520.9648000000002</c:v>
                </c:pt>
                <c:pt idx="58">
                  <c:v>3537.4843000000001</c:v>
                </c:pt>
                <c:pt idx="59">
                  <c:v>3595.6466</c:v>
                </c:pt>
                <c:pt idx="60">
                  <c:v>3580.6759000000002</c:v>
                </c:pt>
                <c:pt idx="61">
                  <c:v>3567.8031000000001</c:v>
                </c:pt>
                <c:pt idx="62">
                  <c:v>3536.4077000000002</c:v>
                </c:pt>
                <c:pt idx="63">
                  <c:v>3533.4870999999998</c:v>
                </c:pt>
                <c:pt idx="64">
                  <c:v>3504.7085999999999</c:v>
                </c:pt>
                <c:pt idx="65">
                  <c:v>3504.2447000000002</c:v>
                </c:pt>
                <c:pt idx="66">
                  <c:v>3475.8389000000002</c:v>
                </c:pt>
                <c:pt idx="67">
                  <c:v>3549.0758999999998</c:v>
                </c:pt>
                <c:pt idx="68">
                  <c:v>3511.1145999999999</c:v>
                </c:pt>
                <c:pt idx="69">
                  <c:v>3565.4029999999998</c:v>
                </c:pt>
                <c:pt idx="70">
                  <c:v>3569.8018000000002</c:v>
                </c:pt>
                <c:pt idx="71">
                  <c:v>3541.6619000000001</c:v>
                </c:pt>
                <c:pt idx="72">
                  <c:v>3530.9045000000001</c:v>
                </c:pt>
                <c:pt idx="73">
                  <c:v>3506.2249000000002</c:v>
                </c:pt>
                <c:pt idx="74">
                  <c:v>3521.6219000000001</c:v>
                </c:pt>
                <c:pt idx="75">
                  <c:v>3530.2813000000001</c:v>
                </c:pt>
                <c:pt idx="76">
                  <c:v>3584.2685999999999</c:v>
                </c:pt>
                <c:pt idx="77">
                  <c:v>3623.9124000000002</c:v>
                </c:pt>
                <c:pt idx="78">
                  <c:v>3604.3942999999999</c:v>
                </c:pt>
                <c:pt idx="79">
                  <c:v>3657.8766999999998</c:v>
                </c:pt>
                <c:pt idx="80">
                  <c:v>3659.0075999999999</c:v>
                </c:pt>
                <c:pt idx="81">
                  <c:v>3630.2233000000001</c:v>
                </c:pt>
                <c:pt idx="82">
                  <c:v>3664.5610000000001</c:v>
                </c:pt>
                <c:pt idx="83">
                  <c:v>3666.2770999999998</c:v>
                </c:pt>
                <c:pt idx="84">
                  <c:v>3664.6907000000001</c:v>
                </c:pt>
                <c:pt idx="85">
                  <c:v>3657.0454</c:v>
                </c:pt>
                <c:pt idx="86">
                  <c:v>3626.0558999999998</c:v>
                </c:pt>
                <c:pt idx="87">
                  <c:v>3640.3591999999999</c:v>
                </c:pt>
                <c:pt idx="88">
                  <c:v>3677.9695999999999</c:v>
                </c:pt>
                <c:pt idx="89">
                  <c:v>3690.9623000000001</c:v>
                </c:pt>
                <c:pt idx="90">
                  <c:v>3676.1610999999998</c:v>
                </c:pt>
                <c:pt idx="91">
                  <c:v>3684.451</c:v>
                </c:pt>
                <c:pt idx="92">
                  <c:v>3641.7917000000002</c:v>
                </c:pt>
                <c:pt idx="93">
                  <c:v>3601.4753999999998</c:v>
                </c:pt>
                <c:pt idx="94">
                  <c:v>3635.7078999999999</c:v>
                </c:pt>
                <c:pt idx="95">
                  <c:v>3609.1723999999999</c:v>
                </c:pt>
                <c:pt idx="96">
                  <c:v>3613.5223000000001</c:v>
                </c:pt>
                <c:pt idx="97">
                  <c:v>3594.3121000000001</c:v>
                </c:pt>
                <c:pt idx="98">
                  <c:v>3579.9247</c:v>
                </c:pt>
                <c:pt idx="99">
                  <c:v>3588.7483000000002</c:v>
                </c:pt>
                <c:pt idx="100">
                  <c:v>3615.6714000000002</c:v>
                </c:pt>
                <c:pt idx="101">
                  <c:v>3594.7936</c:v>
                </c:pt>
                <c:pt idx="102">
                  <c:v>3592.2453999999998</c:v>
                </c:pt>
                <c:pt idx="103">
                  <c:v>3574.1143000000002</c:v>
                </c:pt>
                <c:pt idx="104">
                  <c:v>3542.8771000000002</c:v>
                </c:pt>
                <c:pt idx="105">
                  <c:v>3544.1224999999999</c:v>
                </c:pt>
                <c:pt idx="106">
                  <c:v>3526.1306</c:v>
                </c:pt>
                <c:pt idx="107">
                  <c:v>3541.5331000000001</c:v>
                </c:pt>
                <c:pt idx="108">
                  <c:v>3536.1986000000002</c:v>
                </c:pt>
                <c:pt idx="109">
                  <c:v>3545.5902000000001</c:v>
                </c:pt>
                <c:pt idx="110">
                  <c:v>3528.7489999999998</c:v>
                </c:pt>
                <c:pt idx="111">
                  <c:v>3503.2817</c:v>
                </c:pt>
                <c:pt idx="112">
                  <c:v>3495.6197999999999</c:v>
                </c:pt>
                <c:pt idx="113">
                  <c:v>3476.8101999999999</c:v>
                </c:pt>
                <c:pt idx="114">
                  <c:v>3457.9023000000002</c:v>
                </c:pt>
                <c:pt idx="115">
                  <c:v>3480.2647999999999</c:v>
                </c:pt>
                <c:pt idx="116">
                  <c:v>3454.1174999999998</c:v>
                </c:pt>
                <c:pt idx="117">
                  <c:v>3461.6570000000002</c:v>
                </c:pt>
                <c:pt idx="118">
                  <c:v>3478.1826999999998</c:v>
                </c:pt>
                <c:pt idx="119">
                  <c:v>3471.7856999999999</c:v>
                </c:pt>
                <c:pt idx="120">
                  <c:v>3463.4141</c:v>
                </c:pt>
                <c:pt idx="121">
                  <c:v>3445.8128000000002</c:v>
                </c:pt>
                <c:pt idx="122">
                  <c:v>3431.0605</c:v>
                </c:pt>
                <c:pt idx="123">
                  <c:v>3401.7604000000001</c:v>
                </c:pt>
                <c:pt idx="124">
                  <c:v>3439.8110999999999</c:v>
                </c:pt>
                <c:pt idx="125">
                  <c:v>3428.9657000000002</c:v>
                </c:pt>
                <c:pt idx="126">
                  <c:v>3468.1689999999999</c:v>
                </c:pt>
                <c:pt idx="127">
                  <c:v>3472.4014000000002</c:v>
                </c:pt>
                <c:pt idx="128">
                  <c:v>3476.2467000000001</c:v>
                </c:pt>
                <c:pt idx="129">
                  <c:v>3498.2827000000002</c:v>
                </c:pt>
                <c:pt idx="130">
                  <c:v>3501.5835999999999</c:v>
                </c:pt>
                <c:pt idx="131">
                  <c:v>3520.931</c:v>
                </c:pt>
                <c:pt idx="132">
                  <c:v>3539.0156000000002</c:v>
                </c:pt>
                <c:pt idx="133">
                  <c:v>3514.9249</c:v>
                </c:pt>
                <c:pt idx="134">
                  <c:v>3439.8779</c:v>
                </c:pt>
                <c:pt idx="135">
                  <c:v>3418.1662999999999</c:v>
                </c:pt>
                <c:pt idx="136">
                  <c:v>3399.2716</c:v>
                </c:pt>
                <c:pt idx="137">
                  <c:v>3409.2930999999999</c:v>
                </c:pt>
                <c:pt idx="138">
                  <c:v>3390.7420000000002</c:v>
                </c:pt>
                <c:pt idx="139">
                  <c:v>3369.3820999999998</c:v>
                </c:pt>
                <c:pt idx="140">
                  <c:v>3442.0844000000002</c:v>
                </c:pt>
                <c:pt idx="141">
                  <c:v>3419.2665999999999</c:v>
                </c:pt>
                <c:pt idx="142">
                  <c:v>3384.3919000000001</c:v>
                </c:pt>
                <c:pt idx="143">
                  <c:v>3343.3204999999998</c:v>
                </c:pt>
                <c:pt idx="144">
                  <c:v>3342.9789000000001</c:v>
                </c:pt>
                <c:pt idx="145">
                  <c:v>3341.489</c:v>
                </c:pt>
                <c:pt idx="146">
                  <c:v>3342.9369000000002</c:v>
                </c:pt>
                <c:pt idx="147">
                  <c:v>3331.6273999999999</c:v>
                </c:pt>
                <c:pt idx="148">
                  <c:v>3325.8645000000001</c:v>
                </c:pt>
                <c:pt idx="149">
                  <c:v>3334.3903</c:v>
                </c:pt>
                <c:pt idx="150">
                  <c:v>3309.2388999999998</c:v>
                </c:pt>
                <c:pt idx="151">
                  <c:v>3341.953</c:v>
                </c:pt>
                <c:pt idx="152">
                  <c:v>3345.634</c:v>
                </c:pt>
                <c:pt idx="153">
                  <c:v>3356.9677000000001</c:v>
                </c:pt>
                <c:pt idx="154">
                  <c:v>3332.7033999999999</c:v>
                </c:pt>
                <c:pt idx="155">
                  <c:v>3321.6350000000002</c:v>
                </c:pt>
                <c:pt idx="156">
                  <c:v>3313.1356999999998</c:v>
                </c:pt>
                <c:pt idx="157">
                  <c:v>3327.1905000000002</c:v>
                </c:pt>
                <c:pt idx="158">
                  <c:v>3324.2231000000002</c:v>
                </c:pt>
                <c:pt idx="159">
                  <c:v>3305.3337999999999</c:v>
                </c:pt>
                <c:pt idx="160">
                  <c:v>3286.4956000000002</c:v>
                </c:pt>
                <c:pt idx="161">
                  <c:v>3277.6812</c:v>
                </c:pt>
                <c:pt idx="162">
                  <c:v>3321.4322999999999</c:v>
                </c:pt>
                <c:pt idx="163">
                  <c:v>3265.011</c:v>
                </c:pt>
                <c:pt idx="164">
                  <c:v>3273.4281999999998</c:v>
                </c:pt>
                <c:pt idx="165">
                  <c:v>3252.1649000000002</c:v>
                </c:pt>
                <c:pt idx="166">
                  <c:v>3257.7577999999999</c:v>
                </c:pt>
                <c:pt idx="167">
                  <c:v>3231.3456999999999</c:v>
                </c:pt>
                <c:pt idx="168">
                  <c:v>3192.9515999999999</c:v>
                </c:pt>
                <c:pt idx="169">
                  <c:v>3195.7552000000001</c:v>
                </c:pt>
                <c:pt idx="170">
                  <c:v>3186.1298999999999</c:v>
                </c:pt>
                <c:pt idx="171">
                  <c:v>3172.4747000000002</c:v>
                </c:pt>
                <c:pt idx="172">
                  <c:v>3159.2469999999998</c:v>
                </c:pt>
                <c:pt idx="173">
                  <c:v>3171.0102000000002</c:v>
                </c:pt>
                <c:pt idx="174">
                  <c:v>3196.0356999999999</c:v>
                </c:pt>
                <c:pt idx="175">
                  <c:v>3201.0497</c:v>
                </c:pt>
                <c:pt idx="176">
                  <c:v>3212.7638999999999</c:v>
                </c:pt>
                <c:pt idx="177">
                  <c:v>3351.9090000000001</c:v>
                </c:pt>
                <c:pt idx="178">
                  <c:v>3401.5329999999999</c:v>
                </c:pt>
                <c:pt idx="179">
                  <c:v>3545.3204000000001</c:v>
                </c:pt>
                <c:pt idx="180">
                  <c:v>3703.6849000000002</c:v>
                </c:pt>
                <c:pt idx="181">
                  <c:v>4017.8544999999999</c:v>
                </c:pt>
                <c:pt idx="182">
                  <c:v>4256.0962</c:v>
                </c:pt>
                <c:pt idx="183">
                  <c:v>3955.9839000000002</c:v>
                </c:pt>
                <c:pt idx="184">
                  <c:v>3997.7878999999998</c:v>
                </c:pt>
                <c:pt idx="185">
                  <c:v>3887.1669999999999</c:v>
                </c:pt>
                <c:pt idx="186">
                  <c:v>3961.3424</c:v>
                </c:pt>
                <c:pt idx="187">
                  <c:v>3855.9949000000001</c:v>
                </c:pt>
                <c:pt idx="188">
                  <c:v>3831.5889999999999</c:v>
                </c:pt>
                <c:pt idx="189">
                  <c:v>3788.2217000000001</c:v>
                </c:pt>
                <c:pt idx="190">
                  <c:v>3925.2339999999999</c:v>
                </c:pt>
                <c:pt idx="191">
                  <c:v>3935.1974</c:v>
                </c:pt>
                <c:pt idx="192">
                  <c:v>3957.7755000000002</c:v>
                </c:pt>
                <c:pt idx="193">
                  <c:v>3973.2089000000001</c:v>
                </c:pt>
                <c:pt idx="194">
                  <c:v>3928.8334</c:v>
                </c:pt>
                <c:pt idx="195">
                  <c:v>3956.4209999999998</c:v>
                </c:pt>
                <c:pt idx="196">
                  <c:v>3964.1569</c:v>
                </c:pt>
                <c:pt idx="197">
                  <c:v>3924.6489999999999</c:v>
                </c:pt>
                <c:pt idx="198">
                  <c:v>3889.4486999999999</c:v>
                </c:pt>
                <c:pt idx="199">
                  <c:v>3891.0396000000001</c:v>
                </c:pt>
                <c:pt idx="200">
                  <c:v>3890.0203000000001</c:v>
                </c:pt>
                <c:pt idx="201">
                  <c:v>3944.7619</c:v>
                </c:pt>
                <c:pt idx="202">
                  <c:v>4044.5725000000002</c:v>
                </c:pt>
                <c:pt idx="203">
                  <c:v>4024.2831000000001</c:v>
                </c:pt>
                <c:pt idx="204">
                  <c:v>4145.6952000000001</c:v>
                </c:pt>
                <c:pt idx="205">
                  <c:v>4104.0469999999996</c:v>
                </c:pt>
                <c:pt idx="206">
                  <c:v>4131.1311999999998</c:v>
                </c:pt>
                <c:pt idx="207">
                  <c:v>4085.7429999999999</c:v>
                </c:pt>
                <c:pt idx="208">
                  <c:v>4110.8900999999996</c:v>
                </c:pt>
                <c:pt idx="209">
                  <c:v>4039.6190999999999</c:v>
                </c:pt>
                <c:pt idx="210">
                  <c:v>3968.8308000000002</c:v>
                </c:pt>
                <c:pt idx="211">
                  <c:v>3950.3806</c:v>
                </c:pt>
                <c:pt idx="212">
                  <c:v>3976.8912</c:v>
                </c:pt>
                <c:pt idx="213">
                  <c:v>3985.7727</c:v>
                </c:pt>
                <c:pt idx="214">
                  <c:v>3989.2979</c:v>
                </c:pt>
                <c:pt idx="215">
                  <c:v>3865.6988999999999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5-4626-B82E-969F052A6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5328"/>
        <c:axId val="121603888"/>
      </c:areaChart>
      <c:lineChart>
        <c:grouping val="standard"/>
        <c:varyColors val="0"/>
        <c:ser>
          <c:idx val="0"/>
          <c:order val="0"/>
          <c:tx>
            <c:strRef>
              <c:f>仓位序列!$B$1</c:f>
              <c:strCache>
                <c:ptCount val="1"/>
                <c:pt idx="0">
                  <c:v>权益仓位(穿透)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仓位序列!$B$2:$B$217</c:f>
              <c:numCache>
                <c:formatCode>0.00%</c:formatCode>
                <c:ptCount val="216"/>
                <c:pt idx="0">
                  <c:v>0.109708</c:v>
                </c:pt>
                <c:pt idx="1">
                  <c:v>0.11035399999999999</c:v>
                </c:pt>
                <c:pt idx="2">
                  <c:v>0.111734</c:v>
                </c:pt>
                <c:pt idx="3">
                  <c:v>0.11276700000000001</c:v>
                </c:pt>
                <c:pt idx="4">
                  <c:v>0.11486200000000001</c:v>
                </c:pt>
                <c:pt idx="5">
                  <c:v>0.11003499999999999</c:v>
                </c:pt>
                <c:pt idx="6">
                  <c:v>0.115749</c:v>
                </c:pt>
                <c:pt idx="7">
                  <c:v>0.114744</c:v>
                </c:pt>
                <c:pt idx="8">
                  <c:v>0.114895</c:v>
                </c:pt>
                <c:pt idx="9">
                  <c:v>0.115533</c:v>
                </c:pt>
                <c:pt idx="10">
                  <c:v>0.11586399999999999</c:v>
                </c:pt>
                <c:pt idx="11">
                  <c:v>0.11617</c:v>
                </c:pt>
                <c:pt idx="12">
                  <c:v>0.11522399999999999</c:v>
                </c:pt>
                <c:pt idx="13">
                  <c:v>0.114343</c:v>
                </c:pt>
                <c:pt idx="14">
                  <c:v>0.11677700000000001</c:v>
                </c:pt>
                <c:pt idx="15">
                  <c:v>0.11083999999999999</c:v>
                </c:pt>
                <c:pt idx="16">
                  <c:v>0.111501</c:v>
                </c:pt>
                <c:pt idx="17">
                  <c:v>0.116729</c:v>
                </c:pt>
                <c:pt idx="18">
                  <c:v>0.120659</c:v>
                </c:pt>
                <c:pt idx="19">
                  <c:v>0.122753</c:v>
                </c:pt>
                <c:pt idx="20">
                  <c:v>0.12300800000000001</c:v>
                </c:pt>
                <c:pt idx="21">
                  <c:v>0.121492</c:v>
                </c:pt>
                <c:pt idx="22">
                  <c:v>0.121778</c:v>
                </c:pt>
                <c:pt idx="23">
                  <c:v>0.12114800000000001</c:v>
                </c:pt>
                <c:pt idx="24">
                  <c:v>0.121338</c:v>
                </c:pt>
                <c:pt idx="25">
                  <c:v>0.122099</c:v>
                </c:pt>
                <c:pt idx="26">
                  <c:v>9.3340999999999993E-2</c:v>
                </c:pt>
                <c:pt idx="27">
                  <c:v>5.9898E-2</c:v>
                </c:pt>
                <c:pt idx="28">
                  <c:v>5.9150000000000001E-2</c:v>
                </c:pt>
                <c:pt idx="29">
                  <c:v>6.0401000000000003E-2</c:v>
                </c:pt>
                <c:pt idx="30">
                  <c:v>6.0398E-2</c:v>
                </c:pt>
                <c:pt idx="31">
                  <c:v>6.8353999999999998E-2</c:v>
                </c:pt>
                <c:pt idx="32">
                  <c:v>6.9181999999999994E-2</c:v>
                </c:pt>
                <c:pt idx="33">
                  <c:v>6.9608000000000003E-2</c:v>
                </c:pt>
                <c:pt idx="34">
                  <c:v>6.7333000000000004E-2</c:v>
                </c:pt>
                <c:pt idx="35">
                  <c:v>6.7517999999999995E-2</c:v>
                </c:pt>
                <c:pt idx="36">
                  <c:v>6.6833000000000004E-2</c:v>
                </c:pt>
                <c:pt idx="37">
                  <c:v>6.7483000000000001E-2</c:v>
                </c:pt>
                <c:pt idx="38">
                  <c:v>6.7303000000000002E-2</c:v>
                </c:pt>
                <c:pt idx="39">
                  <c:v>6.7933999999999994E-2</c:v>
                </c:pt>
                <c:pt idx="40">
                  <c:v>6.8475999999999995E-2</c:v>
                </c:pt>
                <c:pt idx="41">
                  <c:v>6.8530999999999995E-2</c:v>
                </c:pt>
                <c:pt idx="42">
                  <c:v>6.9184999999999997E-2</c:v>
                </c:pt>
                <c:pt idx="43">
                  <c:v>7.2026999999999994E-2</c:v>
                </c:pt>
                <c:pt idx="44">
                  <c:v>7.1584999999999996E-2</c:v>
                </c:pt>
                <c:pt idx="45">
                  <c:v>7.0446999999999996E-2</c:v>
                </c:pt>
                <c:pt idx="46">
                  <c:v>7.0354E-2</c:v>
                </c:pt>
                <c:pt idx="47">
                  <c:v>6.9373000000000004E-2</c:v>
                </c:pt>
                <c:pt idx="48">
                  <c:v>7.0013000000000006E-2</c:v>
                </c:pt>
                <c:pt idx="49">
                  <c:v>6.9592000000000001E-2</c:v>
                </c:pt>
                <c:pt idx="50">
                  <c:v>6.9246000000000002E-2</c:v>
                </c:pt>
                <c:pt idx="51">
                  <c:v>7.0044999999999996E-2</c:v>
                </c:pt>
                <c:pt idx="52">
                  <c:v>7.0017999999999997E-2</c:v>
                </c:pt>
                <c:pt idx="53">
                  <c:v>6.9504999999999997E-2</c:v>
                </c:pt>
                <c:pt idx="54">
                  <c:v>6.9776000000000005E-2</c:v>
                </c:pt>
                <c:pt idx="55">
                  <c:v>7.0078000000000001E-2</c:v>
                </c:pt>
                <c:pt idx="56">
                  <c:v>7.0657999999999999E-2</c:v>
                </c:pt>
                <c:pt idx="57">
                  <c:v>6.9906999999999997E-2</c:v>
                </c:pt>
                <c:pt idx="58">
                  <c:v>7.1123000000000006E-2</c:v>
                </c:pt>
                <c:pt idx="59">
                  <c:v>7.1006E-2</c:v>
                </c:pt>
                <c:pt idx="60">
                  <c:v>7.0812E-2</c:v>
                </c:pt>
                <c:pt idx="61">
                  <c:v>7.0557999999999996E-2</c:v>
                </c:pt>
                <c:pt idx="62">
                  <c:v>6.8694000000000005E-2</c:v>
                </c:pt>
                <c:pt idx="63">
                  <c:v>6.8292000000000005E-2</c:v>
                </c:pt>
                <c:pt idx="64">
                  <c:v>6.8364999999999995E-2</c:v>
                </c:pt>
                <c:pt idx="65">
                  <c:v>6.8886000000000003E-2</c:v>
                </c:pt>
                <c:pt idx="66">
                  <c:v>6.8631999999999999E-2</c:v>
                </c:pt>
                <c:pt idx="67">
                  <c:v>7.6096999999999998E-2</c:v>
                </c:pt>
                <c:pt idx="68">
                  <c:v>6.9334999999999994E-2</c:v>
                </c:pt>
                <c:pt idx="69">
                  <c:v>7.7066999999999997E-2</c:v>
                </c:pt>
                <c:pt idx="70">
                  <c:v>7.7078999999999995E-2</c:v>
                </c:pt>
                <c:pt idx="71">
                  <c:v>7.8058000000000002E-2</c:v>
                </c:pt>
                <c:pt idx="72">
                  <c:v>7.6078999999999994E-2</c:v>
                </c:pt>
                <c:pt idx="73">
                  <c:v>7.4795E-2</c:v>
                </c:pt>
                <c:pt idx="74">
                  <c:v>8.6352999999999999E-2</c:v>
                </c:pt>
                <c:pt idx="75">
                  <c:v>9.5771999999999996E-2</c:v>
                </c:pt>
                <c:pt idx="76">
                  <c:v>8.8081000000000007E-2</c:v>
                </c:pt>
                <c:pt idx="77">
                  <c:v>8.9562000000000003E-2</c:v>
                </c:pt>
                <c:pt idx="78">
                  <c:v>9.0823000000000001E-2</c:v>
                </c:pt>
                <c:pt idx="79">
                  <c:v>9.0576000000000004E-2</c:v>
                </c:pt>
                <c:pt idx="80">
                  <c:v>9.1009000000000007E-2</c:v>
                </c:pt>
                <c:pt idx="81">
                  <c:v>9.1906000000000002E-2</c:v>
                </c:pt>
                <c:pt idx="82">
                  <c:v>9.2649999999999996E-2</c:v>
                </c:pt>
                <c:pt idx="83">
                  <c:v>9.4874E-2</c:v>
                </c:pt>
                <c:pt idx="84">
                  <c:v>0.12587400000000001</c:v>
                </c:pt>
                <c:pt idx="85">
                  <c:v>0.14774399999999999</c:v>
                </c:pt>
                <c:pt idx="86">
                  <c:v>0.164966</c:v>
                </c:pt>
                <c:pt idx="87">
                  <c:v>0.16316</c:v>
                </c:pt>
                <c:pt idx="88">
                  <c:v>0.166106</c:v>
                </c:pt>
                <c:pt idx="89">
                  <c:v>0.170319</c:v>
                </c:pt>
                <c:pt idx="90">
                  <c:v>0.17025199999999999</c:v>
                </c:pt>
                <c:pt idx="91">
                  <c:v>0.16944400000000001</c:v>
                </c:pt>
                <c:pt idx="92">
                  <c:v>0.16684199999999999</c:v>
                </c:pt>
                <c:pt idx="93">
                  <c:v>0.157971</c:v>
                </c:pt>
                <c:pt idx="94">
                  <c:v>0.16173499999999999</c:v>
                </c:pt>
                <c:pt idx="95">
                  <c:v>0.164995</c:v>
                </c:pt>
                <c:pt idx="96">
                  <c:v>0.165995</c:v>
                </c:pt>
                <c:pt idx="97">
                  <c:v>0.16251199999999999</c:v>
                </c:pt>
                <c:pt idx="98">
                  <c:v>0.16330600000000001</c:v>
                </c:pt>
                <c:pt idx="99">
                  <c:v>0.16156999999999999</c:v>
                </c:pt>
                <c:pt idx="100">
                  <c:v>0.162795</c:v>
                </c:pt>
                <c:pt idx="101">
                  <c:v>0.162021</c:v>
                </c:pt>
                <c:pt idx="102">
                  <c:v>0.16341900000000001</c:v>
                </c:pt>
                <c:pt idx="103">
                  <c:v>0.19314999999999999</c:v>
                </c:pt>
                <c:pt idx="104">
                  <c:v>0.19025800000000001</c:v>
                </c:pt>
                <c:pt idx="105">
                  <c:v>0.20047100000000001</c:v>
                </c:pt>
                <c:pt idx="106">
                  <c:v>0.20003499999999999</c:v>
                </c:pt>
                <c:pt idx="107">
                  <c:v>0.167569</c:v>
                </c:pt>
                <c:pt idx="108">
                  <c:v>0.166912</c:v>
                </c:pt>
                <c:pt idx="109">
                  <c:v>0.16924</c:v>
                </c:pt>
                <c:pt idx="110">
                  <c:v>0.17347899999999999</c:v>
                </c:pt>
                <c:pt idx="111">
                  <c:v>0.17391699999999999</c:v>
                </c:pt>
                <c:pt idx="112">
                  <c:v>0.17320199999999999</c:v>
                </c:pt>
                <c:pt idx="113">
                  <c:v>0.17178099999999999</c:v>
                </c:pt>
                <c:pt idx="114">
                  <c:v>0.17203299999999999</c:v>
                </c:pt>
                <c:pt idx="115">
                  <c:v>0.16658000000000001</c:v>
                </c:pt>
                <c:pt idx="116">
                  <c:v>0.16595799999999999</c:v>
                </c:pt>
                <c:pt idx="117">
                  <c:v>0.17033200000000001</c:v>
                </c:pt>
                <c:pt idx="118">
                  <c:v>0.174707</c:v>
                </c:pt>
                <c:pt idx="119">
                  <c:v>0.17419399999999999</c:v>
                </c:pt>
                <c:pt idx="120">
                  <c:v>0.17272499999999999</c:v>
                </c:pt>
                <c:pt idx="121">
                  <c:v>0.172318</c:v>
                </c:pt>
                <c:pt idx="122">
                  <c:v>0.17252799999999999</c:v>
                </c:pt>
                <c:pt idx="123">
                  <c:v>0.17307800000000001</c:v>
                </c:pt>
                <c:pt idx="124">
                  <c:v>0.17494199999999999</c:v>
                </c:pt>
                <c:pt idx="125">
                  <c:v>0.17066400000000001</c:v>
                </c:pt>
                <c:pt idx="126">
                  <c:v>0.17231099999999999</c:v>
                </c:pt>
                <c:pt idx="127">
                  <c:v>0.168017</c:v>
                </c:pt>
                <c:pt idx="128">
                  <c:v>0.16775899999999999</c:v>
                </c:pt>
                <c:pt idx="129">
                  <c:v>0.16747999999999999</c:v>
                </c:pt>
                <c:pt idx="130">
                  <c:v>0.16624900000000001</c:v>
                </c:pt>
                <c:pt idx="131">
                  <c:v>0.170407</c:v>
                </c:pt>
                <c:pt idx="132">
                  <c:v>0.17288400000000001</c:v>
                </c:pt>
                <c:pt idx="133">
                  <c:v>0.17096800000000001</c:v>
                </c:pt>
                <c:pt idx="134">
                  <c:v>0.169624</c:v>
                </c:pt>
                <c:pt idx="135">
                  <c:v>0.17555999999999999</c:v>
                </c:pt>
                <c:pt idx="136">
                  <c:v>0.17424300000000001</c:v>
                </c:pt>
                <c:pt idx="137">
                  <c:v>0.174572</c:v>
                </c:pt>
                <c:pt idx="138">
                  <c:v>0.17546500000000001</c:v>
                </c:pt>
                <c:pt idx="139">
                  <c:v>0.173429</c:v>
                </c:pt>
                <c:pt idx="140">
                  <c:v>0.17527799999999999</c:v>
                </c:pt>
                <c:pt idx="141">
                  <c:v>0.174787</c:v>
                </c:pt>
                <c:pt idx="142">
                  <c:v>0.17294799999999999</c:v>
                </c:pt>
                <c:pt idx="143">
                  <c:v>0.16530500000000001</c:v>
                </c:pt>
                <c:pt idx="144">
                  <c:v>0.16342300000000001</c:v>
                </c:pt>
                <c:pt idx="145">
                  <c:v>0.147594</c:v>
                </c:pt>
                <c:pt idx="146">
                  <c:v>0.147011</c:v>
                </c:pt>
                <c:pt idx="147">
                  <c:v>0.15542900000000001</c:v>
                </c:pt>
                <c:pt idx="148">
                  <c:v>0.156087</c:v>
                </c:pt>
                <c:pt idx="149">
                  <c:v>0.15632799999999999</c:v>
                </c:pt>
                <c:pt idx="150">
                  <c:v>0.155559</c:v>
                </c:pt>
                <c:pt idx="151">
                  <c:v>0.15762399999999999</c:v>
                </c:pt>
                <c:pt idx="152">
                  <c:v>0.15749199999999999</c:v>
                </c:pt>
                <c:pt idx="153">
                  <c:v>0.161493</c:v>
                </c:pt>
                <c:pt idx="154">
                  <c:v>0.158191</c:v>
                </c:pt>
                <c:pt idx="155">
                  <c:v>0.15420400000000001</c:v>
                </c:pt>
                <c:pt idx="156">
                  <c:v>0.15453</c:v>
                </c:pt>
                <c:pt idx="157">
                  <c:v>0.15445900000000001</c:v>
                </c:pt>
                <c:pt idx="158">
                  <c:v>0.15431900000000001</c:v>
                </c:pt>
                <c:pt idx="159">
                  <c:v>0.15420700000000001</c:v>
                </c:pt>
                <c:pt idx="160">
                  <c:v>0.15387700000000001</c:v>
                </c:pt>
                <c:pt idx="161">
                  <c:v>0.15249399999999999</c:v>
                </c:pt>
                <c:pt idx="162">
                  <c:v>0.15417700000000001</c:v>
                </c:pt>
                <c:pt idx="163">
                  <c:v>0.153754</c:v>
                </c:pt>
                <c:pt idx="164">
                  <c:v>0.15265100000000001</c:v>
                </c:pt>
                <c:pt idx="165">
                  <c:v>0.15201999999999999</c:v>
                </c:pt>
                <c:pt idx="166">
                  <c:v>0.15185699999999999</c:v>
                </c:pt>
                <c:pt idx="167">
                  <c:v>0.15060699999999999</c:v>
                </c:pt>
                <c:pt idx="168">
                  <c:v>0.150116</c:v>
                </c:pt>
                <c:pt idx="169">
                  <c:v>0.15093300000000001</c:v>
                </c:pt>
                <c:pt idx="170">
                  <c:v>0.146259</c:v>
                </c:pt>
                <c:pt idx="171">
                  <c:v>0.14643700000000001</c:v>
                </c:pt>
                <c:pt idx="172">
                  <c:v>0.14476900000000001</c:v>
                </c:pt>
                <c:pt idx="173">
                  <c:v>0.14532600000000001</c:v>
                </c:pt>
                <c:pt idx="174">
                  <c:v>0.14698</c:v>
                </c:pt>
                <c:pt idx="175">
                  <c:v>0.14846599999999999</c:v>
                </c:pt>
                <c:pt idx="176">
                  <c:v>0.14912300000000001</c:v>
                </c:pt>
                <c:pt idx="177">
                  <c:v>0.15628800000000001</c:v>
                </c:pt>
                <c:pt idx="178">
                  <c:v>0.15683900000000001</c:v>
                </c:pt>
                <c:pt idx="179">
                  <c:v>0.161796</c:v>
                </c:pt>
                <c:pt idx="180">
                  <c:v>0.16420999999999999</c:v>
                </c:pt>
                <c:pt idx="181">
                  <c:v>0.17561399999999999</c:v>
                </c:pt>
                <c:pt idx="182">
                  <c:v>0.177677</c:v>
                </c:pt>
                <c:pt idx="183">
                  <c:v>0.16428100000000001</c:v>
                </c:pt>
                <c:pt idx="184">
                  <c:v>0.167517</c:v>
                </c:pt>
                <c:pt idx="185">
                  <c:v>0.16566800000000001</c:v>
                </c:pt>
                <c:pt idx="186">
                  <c:v>0.17036899999999999</c:v>
                </c:pt>
                <c:pt idx="187">
                  <c:v>0.185445</c:v>
                </c:pt>
                <c:pt idx="188">
                  <c:v>0.204258</c:v>
                </c:pt>
                <c:pt idx="189">
                  <c:v>0.20088600000000001</c:v>
                </c:pt>
                <c:pt idx="190">
                  <c:v>0.203037</c:v>
                </c:pt>
                <c:pt idx="191">
                  <c:v>0.20303299999999999</c:v>
                </c:pt>
                <c:pt idx="192">
                  <c:v>0.20410300000000001</c:v>
                </c:pt>
                <c:pt idx="193">
                  <c:v>0.20619000000000001</c:v>
                </c:pt>
                <c:pt idx="194">
                  <c:v>0.20504500000000001</c:v>
                </c:pt>
                <c:pt idx="195">
                  <c:v>0.19853699999999999</c:v>
                </c:pt>
                <c:pt idx="196">
                  <c:v>0.19867899999999999</c:v>
                </c:pt>
                <c:pt idx="197">
                  <c:v>0.197266</c:v>
                </c:pt>
                <c:pt idx="198">
                  <c:v>0.19573499999999999</c:v>
                </c:pt>
                <c:pt idx="199">
                  <c:v>0.19534299999999999</c:v>
                </c:pt>
                <c:pt idx="200">
                  <c:v>0.19747700000000001</c:v>
                </c:pt>
                <c:pt idx="201">
                  <c:v>0.19659699999999999</c:v>
                </c:pt>
                <c:pt idx="202">
                  <c:v>0.20038600000000001</c:v>
                </c:pt>
                <c:pt idx="203">
                  <c:v>0.19939000000000001</c:v>
                </c:pt>
                <c:pt idx="204">
                  <c:v>0.20266899999999999</c:v>
                </c:pt>
                <c:pt idx="205">
                  <c:v>0.19955400000000001</c:v>
                </c:pt>
                <c:pt idx="206">
                  <c:v>0.19760900000000001</c:v>
                </c:pt>
                <c:pt idx="207">
                  <c:v>0.195852</c:v>
                </c:pt>
                <c:pt idx="208">
                  <c:v>0.19674900000000001</c:v>
                </c:pt>
                <c:pt idx="209">
                  <c:v>0.19438</c:v>
                </c:pt>
                <c:pt idx="210">
                  <c:v>0.19375300000000001</c:v>
                </c:pt>
                <c:pt idx="211">
                  <c:v>0.19697799999999999</c:v>
                </c:pt>
                <c:pt idx="212">
                  <c:v>0.199325</c:v>
                </c:pt>
                <c:pt idx="213">
                  <c:v>0.20055899999999999</c:v>
                </c:pt>
                <c:pt idx="214">
                  <c:v>0.20025699999999999</c:v>
                </c:pt>
                <c:pt idx="215">
                  <c:v>0.19653999999999999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5-4626-B82E-969F052A6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748143"/>
        <c:axId val="792749103"/>
      </c:lineChart>
      <c:dateAx>
        <c:axId val="792748143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9103"/>
        <c:crosses val="autoZero"/>
        <c:auto val="1"/>
        <c:lblOffset val="100"/>
        <c:baseTimeUnit val="days"/>
      </c:dateAx>
      <c:valAx>
        <c:axId val="7927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8143"/>
        <c:crosses val="autoZero"/>
        <c:crossBetween val="between"/>
      </c:valAx>
      <c:valAx>
        <c:axId val="121603888"/>
        <c:scaling>
          <c:orientation val="minMax"/>
          <c:min val="25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1605328"/>
        <c:crosses val="max"/>
        <c:crossBetween val="between"/>
      </c:valAx>
      <c:dateAx>
        <c:axId val="121605328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crossAx val="1216038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组合久期（穿透）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仓位序列!$E$1</c:f>
              <c:strCache>
                <c:ptCount val="1"/>
                <c:pt idx="0">
                  <c:v>中债新综合总财富指数(收盘价)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仓位序列!$E$2:$E$217</c:f>
              <c:numCache>
                <c:formatCode>#,##0.00</c:formatCode>
                <c:ptCount val="216"/>
                <c:pt idx="0">
                  <c:v>229.8451</c:v>
                </c:pt>
                <c:pt idx="1">
                  <c:v>229.88749999999999</c:v>
                </c:pt>
                <c:pt idx="2">
                  <c:v>229.8373</c:v>
                </c:pt>
                <c:pt idx="3">
                  <c:v>229.9325</c:v>
                </c:pt>
                <c:pt idx="4">
                  <c:v>230.09460000000001</c:v>
                </c:pt>
                <c:pt idx="5">
                  <c:v>230.1884</c:v>
                </c:pt>
                <c:pt idx="6">
                  <c:v>230.4195</c:v>
                </c:pt>
                <c:pt idx="7">
                  <c:v>230.4444</c:v>
                </c:pt>
                <c:pt idx="8">
                  <c:v>230.46209999999999</c:v>
                </c:pt>
                <c:pt idx="9">
                  <c:v>230.4332</c:v>
                </c:pt>
                <c:pt idx="10">
                  <c:v>230.4873</c:v>
                </c:pt>
                <c:pt idx="11">
                  <c:v>230.4982</c:v>
                </c:pt>
                <c:pt idx="12">
                  <c:v>230.57650000000001</c:v>
                </c:pt>
                <c:pt idx="13">
                  <c:v>230.72720000000001</c:v>
                </c:pt>
                <c:pt idx="14">
                  <c:v>230.83349999999999</c:v>
                </c:pt>
                <c:pt idx="15">
                  <c:v>231.09780000000001</c:v>
                </c:pt>
                <c:pt idx="16">
                  <c:v>231.15459999999999</c:v>
                </c:pt>
                <c:pt idx="17">
                  <c:v>231.2218</c:v>
                </c:pt>
                <c:pt idx="18">
                  <c:v>231.36019999999999</c:v>
                </c:pt>
                <c:pt idx="19">
                  <c:v>231.4128</c:v>
                </c:pt>
                <c:pt idx="20">
                  <c:v>231.5478</c:v>
                </c:pt>
                <c:pt idx="21">
                  <c:v>231.9562</c:v>
                </c:pt>
                <c:pt idx="22">
                  <c:v>232.33609999999999</c:v>
                </c:pt>
                <c:pt idx="23">
                  <c:v>232.39490000000001</c:v>
                </c:pt>
                <c:pt idx="24">
                  <c:v>232.3914</c:v>
                </c:pt>
                <c:pt idx="25">
                  <c:v>232.6497</c:v>
                </c:pt>
                <c:pt idx="26">
                  <c:v>232.4177</c:v>
                </c:pt>
                <c:pt idx="27">
                  <c:v>232.48349999999999</c:v>
                </c:pt>
                <c:pt idx="28">
                  <c:v>232.4648</c:v>
                </c:pt>
                <c:pt idx="29">
                  <c:v>232.71440000000001</c:v>
                </c:pt>
                <c:pt idx="30">
                  <c:v>232.85820000000001</c:v>
                </c:pt>
                <c:pt idx="31">
                  <c:v>232.91739999999999</c:v>
                </c:pt>
                <c:pt idx="32">
                  <c:v>233.01859999999999</c:v>
                </c:pt>
                <c:pt idx="33">
                  <c:v>233.19759999999999</c:v>
                </c:pt>
                <c:pt idx="34">
                  <c:v>233.3672</c:v>
                </c:pt>
                <c:pt idx="35">
                  <c:v>233.5772</c:v>
                </c:pt>
                <c:pt idx="36">
                  <c:v>233.73339999999999</c:v>
                </c:pt>
                <c:pt idx="37">
                  <c:v>234.04849999999999</c:v>
                </c:pt>
                <c:pt idx="38">
                  <c:v>233.7782</c:v>
                </c:pt>
                <c:pt idx="39">
                  <c:v>233.90360000000001</c:v>
                </c:pt>
                <c:pt idx="40">
                  <c:v>233.96690000000001</c:v>
                </c:pt>
                <c:pt idx="41">
                  <c:v>234.3408</c:v>
                </c:pt>
                <c:pt idx="42">
                  <c:v>234.48079999999999</c:v>
                </c:pt>
                <c:pt idx="43">
                  <c:v>234.47559999999999</c:v>
                </c:pt>
                <c:pt idx="44">
                  <c:v>234.34270000000001</c:v>
                </c:pt>
                <c:pt idx="45">
                  <c:v>233.91720000000001</c:v>
                </c:pt>
                <c:pt idx="46">
                  <c:v>233.81030000000001</c:v>
                </c:pt>
                <c:pt idx="47">
                  <c:v>233.7338</c:v>
                </c:pt>
                <c:pt idx="48">
                  <c:v>233.83510000000001</c:v>
                </c:pt>
                <c:pt idx="49">
                  <c:v>234.0412</c:v>
                </c:pt>
                <c:pt idx="50">
                  <c:v>234.23</c:v>
                </c:pt>
                <c:pt idx="51">
                  <c:v>234.2072</c:v>
                </c:pt>
                <c:pt idx="52">
                  <c:v>234.2321</c:v>
                </c:pt>
                <c:pt idx="53">
                  <c:v>234.2303</c:v>
                </c:pt>
                <c:pt idx="54">
                  <c:v>234.15100000000001</c:v>
                </c:pt>
                <c:pt idx="55">
                  <c:v>234.1371</c:v>
                </c:pt>
                <c:pt idx="56">
                  <c:v>234.268</c:v>
                </c:pt>
                <c:pt idx="57">
                  <c:v>234.35900000000001</c:v>
                </c:pt>
                <c:pt idx="58">
                  <c:v>234.46539999999999</c:v>
                </c:pt>
                <c:pt idx="59">
                  <c:v>234.39590000000001</c:v>
                </c:pt>
                <c:pt idx="60">
                  <c:v>234.52109999999999</c:v>
                </c:pt>
                <c:pt idx="61">
                  <c:v>234.69210000000001</c:v>
                </c:pt>
                <c:pt idx="62">
                  <c:v>234.8724</c:v>
                </c:pt>
                <c:pt idx="63">
                  <c:v>234.9949</c:v>
                </c:pt>
                <c:pt idx="64">
                  <c:v>234.97460000000001</c:v>
                </c:pt>
                <c:pt idx="65">
                  <c:v>235.01929999999999</c:v>
                </c:pt>
                <c:pt idx="66">
                  <c:v>235.24180000000001</c:v>
                </c:pt>
                <c:pt idx="67">
                  <c:v>235.37639999999999</c:v>
                </c:pt>
                <c:pt idx="68">
                  <c:v>235.42769999999999</c:v>
                </c:pt>
                <c:pt idx="69">
                  <c:v>235.55240000000001</c:v>
                </c:pt>
                <c:pt idx="70">
                  <c:v>235.7852</c:v>
                </c:pt>
                <c:pt idx="71">
                  <c:v>235.99260000000001</c:v>
                </c:pt>
                <c:pt idx="72">
                  <c:v>236.28469999999999</c:v>
                </c:pt>
                <c:pt idx="73">
                  <c:v>236.58369999999999</c:v>
                </c:pt>
                <c:pt idx="74">
                  <c:v>236.2346</c:v>
                </c:pt>
                <c:pt idx="75">
                  <c:v>236.08920000000001</c:v>
                </c:pt>
                <c:pt idx="76">
                  <c:v>235.74639999999999</c:v>
                </c:pt>
                <c:pt idx="77">
                  <c:v>235.0949</c:v>
                </c:pt>
                <c:pt idx="78">
                  <c:v>235.40049999999999</c:v>
                </c:pt>
                <c:pt idx="79">
                  <c:v>235.50790000000001</c:v>
                </c:pt>
                <c:pt idx="80">
                  <c:v>235.74359999999999</c:v>
                </c:pt>
                <c:pt idx="81">
                  <c:v>235.8227</c:v>
                </c:pt>
                <c:pt idx="82">
                  <c:v>235.71899999999999</c:v>
                </c:pt>
                <c:pt idx="83">
                  <c:v>235.66909999999999</c:v>
                </c:pt>
                <c:pt idx="84">
                  <c:v>235.83699999999999</c:v>
                </c:pt>
                <c:pt idx="85">
                  <c:v>236.01169999999999</c:v>
                </c:pt>
                <c:pt idx="86">
                  <c:v>236.02619999999999</c:v>
                </c:pt>
                <c:pt idx="87">
                  <c:v>235.9289</c:v>
                </c:pt>
                <c:pt idx="88">
                  <c:v>235.84870000000001</c:v>
                </c:pt>
                <c:pt idx="89">
                  <c:v>235.97130000000001</c:v>
                </c:pt>
                <c:pt idx="90">
                  <c:v>235.97409999999999</c:v>
                </c:pt>
                <c:pt idx="91">
                  <c:v>236.04230000000001</c:v>
                </c:pt>
                <c:pt idx="92">
                  <c:v>236.18989999999999</c:v>
                </c:pt>
                <c:pt idx="93">
                  <c:v>236.2037</c:v>
                </c:pt>
                <c:pt idx="94">
                  <c:v>236.23589999999999</c:v>
                </c:pt>
                <c:pt idx="95">
                  <c:v>236.3691</c:v>
                </c:pt>
                <c:pt idx="96">
                  <c:v>236.5436</c:v>
                </c:pt>
                <c:pt idx="97">
                  <c:v>236.60319999999999</c:v>
                </c:pt>
                <c:pt idx="98">
                  <c:v>236.499</c:v>
                </c:pt>
                <c:pt idx="99">
                  <c:v>236.6671</c:v>
                </c:pt>
                <c:pt idx="100">
                  <c:v>236.76240000000001</c:v>
                </c:pt>
                <c:pt idx="101">
                  <c:v>236.91749999999999</c:v>
                </c:pt>
                <c:pt idx="102">
                  <c:v>237.03280000000001</c:v>
                </c:pt>
                <c:pt idx="103">
                  <c:v>237.10480000000001</c:v>
                </c:pt>
                <c:pt idx="104">
                  <c:v>237.27099999999999</c:v>
                </c:pt>
                <c:pt idx="105">
                  <c:v>237.30269999999999</c:v>
                </c:pt>
                <c:pt idx="106">
                  <c:v>237.39590000000001</c:v>
                </c:pt>
                <c:pt idx="107">
                  <c:v>237.54949999999999</c:v>
                </c:pt>
                <c:pt idx="108">
                  <c:v>237.64439999999999</c:v>
                </c:pt>
                <c:pt idx="109">
                  <c:v>237.78819999999999</c:v>
                </c:pt>
                <c:pt idx="110">
                  <c:v>237.89449999999999</c:v>
                </c:pt>
                <c:pt idx="111">
                  <c:v>238.01169999999999</c:v>
                </c:pt>
                <c:pt idx="112">
                  <c:v>237.90610000000001</c:v>
                </c:pt>
                <c:pt idx="113">
                  <c:v>238.01570000000001</c:v>
                </c:pt>
                <c:pt idx="114">
                  <c:v>238.1772</c:v>
                </c:pt>
                <c:pt idx="115">
                  <c:v>238.25049999999999</c:v>
                </c:pt>
                <c:pt idx="116">
                  <c:v>238.41460000000001</c:v>
                </c:pt>
                <c:pt idx="117">
                  <c:v>238.54329999999999</c:v>
                </c:pt>
                <c:pt idx="118">
                  <c:v>238.3038</c:v>
                </c:pt>
                <c:pt idx="119">
                  <c:v>238.41319999999999</c:v>
                </c:pt>
                <c:pt idx="120">
                  <c:v>238.5795</c:v>
                </c:pt>
                <c:pt idx="121">
                  <c:v>238.60650000000001</c:v>
                </c:pt>
                <c:pt idx="122">
                  <c:v>238.43520000000001</c:v>
                </c:pt>
                <c:pt idx="123">
                  <c:v>238.19390000000001</c:v>
                </c:pt>
                <c:pt idx="124">
                  <c:v>238.38640000000001</c:v>
                </c:pt>
                <c:pt idx="125">
                  <c:v>238.4282</c:v>
                </c:pt>
                <c:pt idx="126">
                  <c:v>238.4879</c:v>
                </c:pt>
                <c:pt idx="127">
                  <c:v>238.61670000000001</c:v>
                </c:pt>
                <c:pt idx="128">
                  <c:v>238.76920000000001</c:v>
                </c:pt>
                <c:pt idx="129">
                  <c:v>238.7961</c:v>
                </c:pt>
                <c:pt idx="130">
                  <c:v>238.81780000000001</c:v>
                </c:pt>
                <c:pt idx="131">
                  <c:v>238.77420000000001</c:v>
                </c:pt>
                <c:pt idx="132">
                  <c:v>238.8083</c:v>
                </c:pt>
                <c:pt idx="133">
                  <c:v>239.11150000000001</c:v>
                </c:pt>
                <c:pt idx="134">
                  <c:v>239.31469999999999</c:v>
                </c:pt>
                <c:pt idx="135">
                  <c:v>239.40100000000001</c:v>
                </c:pt>
                <c:pt idx="136">
                  <c:v>239.61099999999999</c:v>
                </c:pt>
                <c:pt idx="137">
                  <c:v>239.7809</c:v>
                </c:pt>
                <c:pt idx="138">
                  <c:v>240.0307</c:v>
                </c:pt>
                <c:pt idx="139">
                  <c:v>240.23820000000001</c:v>
                </c:pt>
                <c:pt idx="140">
                  <c:v>240.37100000000001</c:v>
                </c:pt>
                <c:pt idx="141">
                  <c:v>240.5737</c:v>
                </c:pt>
                <c:pt idx="142">
                  <c:v>240.7533</c:v>
                </c:pt>
                <c:pt idx="143">
                  <c:v>240.97730000000001</c:v>
                </c:pt>
                <c:pt idx="144">
                  <c:v>240.83500000000001</c:v>
                </c:pt>
                <c:pt idx="145">
                  <c:v>241.00059999999999</c:v>
                </c:pt>
                <c:pt idx="146">
                  <c:v>240.78579999999999</c:v>
                </c:pt>
                <c:pt idx="147">
                  <c:v>240.50620000000001</c:v>
                </c:pt>
                <c:pt idx="148">
                  <c:v>239.9117</c:v>
                </c:pt>
                <c:pt idx="149">
                  <c:v>240.083</c:v>
                </c:pt>
                <c:pt idx="150">
                  <c:v>240.49459999999999</c:v>
                </c:pt>
                <c:pt idx="151">
                  <c:v>240.33840000000001</c:v>
                </c:pt>
                <c:pt idx="152">
                  <c:v>240.36089999999999</c:v>
                </c:pt>
                <c:pt idx="153">
                  <c:v>240.47649999999999</c:v>
                </c:pt>
                <c:pt idx="154">
                  <c:v>240.55260000000001</c:v>
                </c:pt>
                <c:pt idx="155">
                  <c:v>240.46950000000001</c:v>
                </c:pt>
                <c:pt idx="156">
                  <c:v>240.59790000000001</c:v>
                </c:pt>
                <c:pt idx="157">
                  <c:v>240.62459999999999</c:v>
                </c:pt>
                <c:pt idx="158">
                  <c:v>240.65880000000001</c:v>
                </c:pt>
                <c:pt idx="159">
                  <c:v>240.4118</c:v>
                </c:pt>
                <c:pt idx="160">
                  <c:v>240.49279999999999</c:v>
                </c:pt>
                <c:pt idx="161">
                  <c:v>240.5069</c:v>
                </c:pt>
                <c:pt idx="162">
                  <c:v>240.4802</c:v>
                </c:pt>
                <c:pt idx="163">
                  <c:v>240.8075</c:v>
                </c:pt>
                <c:pt idx="164">
                  <c:v>240.92840000000001</c:v>
                </c:pt>
                <c:pt idx="165">
                  <c:v>241.0942</c:v>
                </c:pt>
                <c:pt idx="166">
                  <c:v>241.29589999999999</c:v>
                </c:pt>
                <c:pt idx="167">
                  <c:v>241.35419999999999</c:v>
                </c:pt>
                <c:pt idx="168">
                  <c:v>241.5496</c:v>
                </c:pt>
                <c:pt idx="169">
                  <c:v>241.72329999999999</c:v>
                </c:pt>
                <c:pt idx="170">
                  <c:v>241.8981</c:v>
                </c:pt>
                <c:pt idx="171">
                  <c:v>242.00120000000001</c:v>
                </c:pt>
                <c:pt idx="172">
                  <c:v>242.18450000000001</c:v>
                </c:pt>
                <c:pt idx="173">
                  <c:v>242.64279999999999</c:v>
                </c:pt>
                <c:pt idx="174">
                  <c:v>242.62790000000001</c:v>
                </c:pt>
                <c:pt idx="175">
                  <c:v>242.6053</c:v>
                </c:pt>
                <c:pt idx="176">
                  <c:v>242.7072</c:v>
                </c:pt>
                <c:pt idx="177">
                  <c:v>242.47569999999999</c:v>
                </c:pt>
                <c:pt idx="178">
                  <c:v>242.6669</c:v>
                </c:pt>
                <c:pt idx="179">
                  <c:v>242.4811</c:v>
                </c:pt>
                <c:pt idx="180">
                  <c:v>241.3006</c:v>
                </c:pt>
                <c:pt idx="181">
                  <c:v>240.68090000000001</c:v>
                </c:pt>
                <c:pt idx="182">
                  <c:v>240.48339999999999</c:v>
                </c:pt>
                <c:pt idx="183">
                  <c:v>240.47300000000001</c:v>
                </c:pt>
                <c:pt idx="184">
                  <c:v>241.0076</c:v>
                </c:pt>
                <c:pt idx="185">
                  <c:v>241.2886</c:v>
                </c:pt>
                <c:pt idx="186">
                  <c:v>241.4058</c:v>
                </c:pt>
                <c:pt idx="187">
                  <c:v>241.45519999999999</c:v>
                </c:pt>
                <c:pt idx="188">
                  <c:v>241.483</c:v>
                </c:pt>
                <c:pt idx="189">
                  <c:v>241.6712</c:v>
                </c:pt>
                <c:pt idx="190">
                  <c:v>241.6781</c:v>
                </c:pt>
                <c:pt idx="191">
                  <c:v>241.65010000000001</c:v>
                </c:pt>
                <c:pt idx="192">
                  <c:v>241.4477</c:v>
                </c:pt>
                <c:pt idx="193">
                  <c:v>241.20079999999999</c:v>
                </c:pt>
                <c:pt idx="194">
                  <c:v>241.2149</c:v>
                </c:pt>
                <c:pt idx="195">
                  <c:v>241.0994</c:v>
                </c:pt>
                <c:pt idx="196">
                  <c:v>240.96619999999999</c:v>
                </c:pt>
                <c:pt idx="197">
                  <c:v>241.0206</c:v>
                </c:pt>
                <c:pt idx="198">
                  <c:v>241.05359999999999</c:v>
                </c:pt>
                <c:pt idx="199">
                  <c:v>241.13570000000001</c:v>
                </c:pt>
                <c:pt idx="200">
                  <c:v>241.37</c:v>
                </c:pt>
                <c:pt idx="201">
                  <c:v>241.5241</c:v>
                </c:pt>
                <c:pt idx="202">
                  <c:v>241.6251</c:v>
                </c:pt>
                <c:pt idx="203">
                  <c:v>241.69990000000001</c:v>
                </c:pt>
                <c:pt idx="204">
                  <c:v>241.82089999999999</c:v>
                </c:pt>
                <c:pt idx="205">
                  <c:v>241.92420000000001</c:v>
                </c:pt>
                <c:pt idx="206">
                  <c:v>242.0386</c:v>
                </c:pt>
                <c:pt idx="207">
                  <c:v>242.20599999999999</c:v>
                </c:pt>
                <c:pt idx="208">
                  <c:v>242.2139</c:v>
                </c:pt>
                <c:pt idx="209">
                  <c:v>242.2045</c:v>
                </c:pt>
                <c:pt idx="210">
                  <c:v>242.20160000000001</c:v>
                </c:pt>
                <c:pt idx="211">
                  <c:v>242.0421</c:v>
                </c:pt>
                <c:pt idx="212">
                  <c:v>242.0772</c:v>
                </c:pt>
                <c:pt idx="213">
                  <c:v>242.0761</c:v>
                </c:pt>
                <c:pt idx="214">
                  <c:v>242.20269999999999</c:v>
                </c:pt>
                <c:pt idx="215">
                  <c:v>242.29570000000001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E6C-91FD-DFDB1022C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5328"/>
        <c:axId val="121603888"/>
      </c:areaChart>
      <c:lineChart>
        <c:grouping val="standard"/>
        <c:varyColors val="0"/>
        <c:ser>
          <c:idx val="0"/>
          <c:order val="0"/>
          <c:tx>
            <c:strRef>
              <c:f>仓位序列!$D$1</c:f>
              <c:strCache>
                <c:ptCount val="1"/>
                <c:pt idx="0">
                  <c:v>久期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仓位序列!$D$2:$D$217</c:f>
              <c:numCache>
                <c:formatCode>#,##0.00</c:formatCode>
                <c:ptCount val="216"/>
                <c:pt idx="0">
                  <c:v>1.1094170000000001</c:v>
                </c:pt>
                <c:pt idx="1">
                  <c:v>1.1001000000000001</c:v>
                </c:pt>
                <c:pt idx="2">
                  <c:v>1.098719</c:v>
                </c:pt>
                <c:pt idx="3">
                  <c:v>1.1054360000000001</c:v>
                </c:pt>
                <c:pt idx="4">
                  <c:v>1.0708709999999999</c:v>
                </c:pt>
                <c:pt idx="5">
                  <c:v>1.0968039999999999</c:v>
                </c:pt>
                <c:pt idx="6">
                  <c:v>1.089224</c:v>
                </c:pt>
                <c:pt idx="7">
                  <c:v>1.083923</c:v>
                </c:pt>
                <c:pt idx="8">
                  <c:v>1.0831869999999999</c:v>
                </c:pt>
                <c:pt idx="9">
                  <c:v>1.0219800000000001</c:v>
                </c:pt>
                <c:pt idx="10">
                  <c:v>1.015873</c:v>
                </c:pt>
                <c:pt idx="11">
                  <c:v>1.017617</c:v>
                </c:pt>
                <c:pt idx="12">
                  <c:v>1.0450839999999999</c:v>
                </c:pt>
                <c:pt idx="13">
                  <c:v>1.0778749999999999</c:v>
                </c:pt>
                <c:pt idx="14">
                  <c:v>1.0830059999999999</c:v>
                </c:pt>
                <c:pt idx="15">
                  <c:v>1.1124989999999999</c:v>
                </c:pt>
                <c:pt idx="16">
                  <c:v>1.107208</c:v>
                </c:pt>
                <c:pt idx="17">
                  <c:v>1.068584</c:v>
                </c:pt>
                <c:pt idx="18">
                  <c:v>1.0479810000000001</c:v>
                </c:pt>
                <c:pt idx="19">
                  <c:v>1.0414330000000001</c:v>
                </c:pt>
                <c:pt idx="20">
                  <c:v>1.0399700000000001</c:v>
                </c:pt>
                <c:pt idx="21">
                  <c:v>1.046673</c:v>
                </c:pt>
                <c:pt idx="22">
                  <c:v>1.0352250000000001</c:v>
                </c:pt>
                <c:pt idx="23">
                  <c:v>1.0382290000000001</c:v>
                </c:pt>
                <c:pt idx="24">
                  <c:v>1.037366</c:v>
                </c:pt>
                <c:pt idx="25">
                  <c:v>1.0325880000000001</c:v>
                </c:pt>
                <c:pt idx="26">
                  <c:v>1.027752</c:v>
                </c:pt>
                <c:pt idx="27">
                  <c:v>1.0269509999999999</c:v>
                </c:pt>
                <c:pt idx="28">
                  <c:v>1.0258149999999999</c:v>
                </c:pt>
                <c:pt idx="29">
                  <c:v>1.0158020000000001</c:v>
                </c:pt>
                <c:pt idx="30">
                  <c:v>1.0115229999999999</c:v>
                </c:pt>
                <c:pt idx="31">
                  <c:v>1.0102260000000001</c:v>
                </c:pt>
                <c:pt idx="32">
                  <c:v>1.008758</c:v>
                </c:pt>
                <c:pt idx="33">
                  <c:v>1.000877</c:v>
                </c:pt>
                <c:pt idx="34">
                  <c:v>0.99124900000000005</c:v>
                </c:pt>
                <c:pt idx="35">
                  <c:v>0.98905200000000004</c:v>
                </c:pt>
                <c:pt idx="36">
                  <c:v>0.969553</c:v>
                </c:pt>
                <c:pt idx="37">
                  <c:v>0.97095500000000001</c:v>
                </c:pt>
                <c:pt idx="38">
                  <c:v>0.96387599999999996</c:v>
                </c:pt>
                <c:pt idx="39">
                  <c:v>0.95910799999999996</c:v>
                </c:pt>
                <c:pt idx="40">
                  <c:v>0.956932</c:v>
                </c:pt>
                <c:pt idx="41">
                  <c:v>0.95594999999999997</c:v>
                </c:pt>
                <c:pt idx="42">
                  <c:v>0.947882</c:v>
                </c:pt>
                <c:pt idx="43">
                  <c:v>1.00926</c:v>
                </c:pt>
                <c:pt idx="44">
                  <c:v>0.99946199999999996</c:v>
                </c:pt>
                <c:pt idx="45">
                  <c:v>0.99922599999999995</c:v>
                </c:pt>
                <c:pt idx="46">
                  <c:v>0.99515299999999995</c:v>
                </c:pt>
                <c:pt idx="47">
                  <c:v>0.99550499999999997</c:v>
                </c:pt>
                <c:pt idx="48">
                  <c:v>0.99355800000000005</c:v>
                </c:pt>
                <c:pt idx="49">
                  <c:v>0.988591</c:v>
                </c:pt>
                <c:pt idx="50">
                  <c:v>0.98830799999999996</c:v>
                </c:pt>
                <c:pt idx="51">
                  <c:v>0.98630600000000002</c:v>
                </c:pt>
                <c:pt idx="52">
                  <c:v>0.98490599999999995</c:v>
                </c:pt>
                <c:pt idx="53">
                  <c:v>0.98466900000000002</c:v>
                </c:pt>
                <c:pt idx="54">
                  <c:v>0.99171699999999996</c:v>
                </c:pt>
                <c:pt idx="55">
                  <c:v>0.97394800000000004</c:v>
                </c:pt>
                <c:pt idx="56">
                  <c:v>0.98356900000000003</c:v>
                </c:pt>
                <c:pt idx="57">
                  <c:v>0.98314400000000002</c:v>
                </c:pt>
                <c:pt idx="58">
                  <c:v>0.98516700000000001</c:v>
                </c:pt>
                <c:pt idx="59">
                  <c:v>0.98896300000000004</c:v>
                </c:pt>
                <c:pt idx="60">
                  <c:v>0.99538599999999999</c:v>
                </c:pt>
                <c:pt idx="61">
                  <c:v>1.006006</c:v>
                </c:pt>
                <c:pt idx="62">
                  <c:v>0.999421</c:v>
                </c:pt>
                <c:pt idx="63">
                  <c:v>0.99982899999999997</c:v>
                </c:pt>
                <c:pt idx="64">
                  <c:v>0.99793799999999999</c:v>
                </c:pt>
                <c:pt idx="65">
                  <c:v>0.99079399999999995</c:v>
                </c:pt>
                <c:pt idx="66">
                  <c:v>0.98838499999999996</c:v>
                </c:pt>
                <c:pt idx="67">
                  <c:v>0.98773</c:v>
                </c:pt>
                <c:pt idx="68">
                  <c:v>1.011646</c:v>
                </c:pt>
                <c:pt idx="69">
                  <c:v>1.001695</c:v>
                </c:pt>
                <c:pt idx="70">
                  <c:v>1.0038180000000001</c:v>
                </c:pt>
                <c:pt idx="71">
                  <c:v>1.0062439999999999</c:v>
                </c:pt>
                <c:pt idx="72">
                  <c:v>1.0049859999999999</c:v>
                </c:pt>
                <c:pt idx="73">
                  <c:v>1.0055000000000001</c:v>
                </c:pt>
                <c:pt idx="74">
                  <c:v>1.0035210000000001</c:v>
                </c:pt>
                <c:pt idx="75">
                  <c:v>1.0031460000000001</c:v>
                </c:pt>
                <c:pt idx="76">
                  <c:v>0.93733900000000003</c:v>
                </c:pt>
                <c:pt idx="77">
                  <c:v>0.93202399999999996</c:v>
                </c:pt>
                <c:pt idx="78">
                  <c:v>0.92932700000000001</c:v>
                </c:pt>
                <c:pt idx="79">
                  <c:v>0.92131099999999999</c:v>
                </c:pt>
                <c:pt idx="80">
                  <c:v>0.91966499999999995</c:v>
                </c:pt>
                <c:pt idx="81">
                  <c:v>0.914331</c:v>
                </c:pt>
                <c:pt idx="82">
                  <c:v>0.85526199999999997</c:v>
                </c:pt>
                <c:pt idx="83">
                  <c:v>0.85107699999999997</c:v>
                </c:pt>
                <c:pt idx="84">
                  <c:v>0.84590299999999996</c:v>
                </c:pt>
                <c:pt idx="85">
                  <c:v>0.82431200000000004</c:v>
                </c:pt>
                <c:pt idx="86">
                  <c:v>0.78468599999999999</c:v>
                </c:pt>
                <c:pt idx="87">
                  <c:v>0.78172600000000003</c:v>
                </c:pt>
                <c:pt idx="88">
                  <c:v>0.67222700000000002</c:v>
                </c:pt>
                <c:pt idx="89">
                  <c:v>0.75001799999999996</c:v>
                </c:pt>
                <c:pt idx="90">
                  <c:v>0.77385800000000005</c:v>
                </c:pt>
                <c:pt idx="91">
                  <c:v>0.69322799999999996</c:v>
                </c:pt>
                <c:pt idx="92">
                  <c:v>0.69288300000000003</c:v>
                </c:pt>
                <c:pt idx="93">
                  <c:v>0.73234999999999995</c:v>
                </c:pt>
                <c:pt idx="94">
                  <c:v>0.64749400000000001</c:v>
                </c:pt>
                <c:pt idx="95">
                  <c:v>0.64637299999999998</c:v>
                </c:pt>
                <c:pt idx="96">
                  <c:v>0.66178300000000001</c:v>
                </c:pt>
                <c:pt idx="97">
                  <c:v>0.66267699999999996</c:v>
                </c:pt>
                <c:pt idx="98">
                  <c:v>0.742815</c:v>
                </c:pt>
                <c:pt idx="99">
                  <c:v>0.73972400000000005</c:v>
                </c:pt>
                <c:pt idx="100">
                  <c:v>0.73778699999999997</c:v>
                </c:pt>
                <c:pt idx="101">
                  <c:v>0.72760800000000003</c:v>
                </c:pt>
                <c:pt idx="102">
                  <c:v>0.72304900000000005</c:v>
                </c:pt>
                <c:pt idx="103">
                  <c:v>0.72020799999999996</c:v>
                </c:pt>
                <c:pt idx="104">
                  <c:v>0.71742399999999995</c:v>
                </c:pt>
                <c:pt idx="105">
                  <c:v>0.713198</c:v>
                </c:pt>
                <c:pt idx="106">
                  <c:v>0.71528899999999995</c:v>
                </c:pt>
                <c:pt idx="107">
                  <c:v>0.59023400000000004</c:v>
                </c:pt>
                <c:pt idx="108">
                  <c:v>0.60465100000000005</c:v>
                </c:pt>
                <c:pt idx="109">
                  <c:v>0.60281300000000004</c:v>
                </c:pt>
                <c:pt idx="110">
                  <c:v>0.74019199999999996</c:v>
                </c:pt>
                <c:pt idx="111">
                  <c:v>0.76668499999999995</c:v>
                </c:pt>
                <c:pt idx="112">
                  <c:v>0.77295899999999995</c:v>
                </c:pt>
                <c:pt idx="113">
                  <c:v>0.80941200000000002</c:v>
                </c:pt>
                <c:pt idx="114">
                  <c:v>0.81106</c:v>
                </c:pt>
                <c:pt idx="115">
                  <c:v>0.79136499999999999</c:v>
                </c:pt>
                <c:pt idx="116">
                  <c:v>0.75746000000000002</c:v>
                </c:pt>
                <c:pt idx="117">
                  <c:v>0.754556</c:v>
                </c:pt>
                <c:pt idx="118">
                  <c:v>0.72174099999999997</c:v>
                </c:pt>
                <c:pt idx="119">
                  <c:v>0.72027799999999997</c:v>
                </c:pt>
                <c:pt idx="120">
                  <c:v>0.72029200000000004</c:v>
                </c:pt>
                <c:pt idx="121">
                  <c:v>0.719638</c:v>
                </c:pt>
                <c:pt idx="122">
                  <c:v>0.71804299999999999</c:v>
                </c:pt>
                <c:pt idx="123">
                  <c:v>0.77607199999999998</c:v>
                </c:pt>
                <c:pt idx="124">
                  <c:v>0.73925600000000002</c:v>
                </c:pt>
                <c:pt idx="125">
                  <c:v>0.74233800000000005</c:v>
                </c:pt>
                <c:pt idx="126">
                  <c:v>0.74070400000000003</c:v>
                </c:pt>
                <c:pt idx="127">
                  <c:v>0.74196700000000004</c:v>
                </c:pt>
                <c:pt idx="128">
                  <c:v>0.73987199999999997</c:v>
                </c:pt>
                <c:pt idx="129">
                  <c:v>0.74201399999999995</c:v>
                </c:pt>
                <c:pt idx="130">
                  <c:v>0.75439900000000004</c:v>
                </c:pt>
                <c:pt idx="131">
                  <c:v>0.79209399999999996</c:v>
                </c:pt>
                <c:pt idx="132">
                  <c:v>0.773648</c:v>
                </c:pt>
                <c:pt idx="133">
                  <c:v>0.82999699999999998</c:v>
                </c:pt>
                <c:pt idx="134">
                  <c:v>0.82824900000000001</c:v>
                </c:pt>
                <c:pt idx="135">
                  <c:v>0.82266600000000001</c:v>
                </c:pt>
                <c:pt idx="136">
                  <c:v>0.81559700000000002</c:v>
                </c:pt>
                <c:pt idx="137">
                  <c:v>0.80427800000000005</c:v>
                </c:pt>
                <c:pt idx="138">
                  <c:v>0.80648799999999998</c:v>
                </c:pt>
                <c:pt idx="139">
                  <c:v>0.794678</c:v>
                </c:pt>
                <c:pt idx="140">
                  <c:v>0.77918699999999996</c:v>
                </c:pt>
                <c:pt idx="141">
                  <c:v>0.78414399999999995</c:v>
                </c:pt>
                <c:pt idx="142">
                  <c:v>0.79054199999999997</c:v>
                </c:pt>
                <c:pt idx="143">
                  <c:v>0.77206799999999998</c:v>
                </c:pt>
                <c:pt idx="144">
                  <c:v>0.76187000000000005</c:v>
                </c:pt>
                <c:pt idx="145">
                  <c:v>0.680724</c:v>
                </c:pt>
                <c:pt idx="146">
                  <c:v>0.68174199999999996</c:v>
                </c:pt>
                <c:pt idx="147">
                  <c:v>0.87531199999999998</c:v>
                </c:pt>
                <c:pt idx="148">
                  <c:v>0.87903299999999995</c:v>
                </c:pt>
                <c:pt idx="149">
                  <c:v>0.88188900000000003</c:v>
                </c:pt>
                <c:pt idx="150">
                  <c:v>0.91203599999999996</c:v>
                </c:pt>
                <c:pt idx="151">
                  <c:v>0.91546799999999995</c:v>
                </c:pt>
                <c:pt idx="152">
                  <c:v>0.93798599999999999</c:v>
                </c:pt>
                <c:pt idx="153">
                  <c:v>0.92990600000000001</c:v>
                </c:pt>
                <c:pt idx="154">
                  <c:v>0.93908599999999998</c:v>
                </c:pt>
                <c:pt idx="155">
                  <c:v>0.958067</c:v>
                </c:pt>
                <c:pt idx="156">
                  <c:v>0.95489999999999997</c:v>
                </c:pt>
                <c:pt idx="157">
                  <c:v>0.96051399999999998</c:v>
                </c:pt>
                <c:pt idx="158">
                  <c:v>0.943519</c:v>
                </c:pt>
                <c:pt idx="159">
                  <c:v>0.93304299999999996</c:v>
                </c:pt>
                <c:pt idx="160">
                  <c:v>0.94816400000000001</c:v>
                </c:pt>
                <c:pt idx="161">
                  <c:v>0.94266799999999995</c:v>
                </c:pt>
                <c:pt idx="162">
                  <c:v>0.95196999999999998</c:v>
                </c:pt>
                <c:pt idx="163">
                  <c:v>0.95421</c:v>
                </c:pt>
                <c:pt idx="164">
                  <c:v>0.953569</c:v>
                </c:pt>
                <c:pt idx="165">
                  <c:v>0.95582400000000001</c:v>
                </c:pt>
                <c:pt idx="166">
                  <c:v>0.959399</c:v>
                </c:pt>
                <c:pt idx="167">
                  <c:v>0.96739799999999998</c:v>
                </c:pt>
                <c:pt idx="168">
                  <c:v>1.0254559999999999</c:v>
                </c:pt>
                <c:pt idx="169">
                  <c:v>1.0766690000000001</c:v>
                </c:pt>
                <c:pt idx="170">
                  <c:v>1.0881449999999999</c:v>
                </c:pt>
                <c:pt idx="171">
                  <c:v>1.0780879999999999</c:v>
                </c:pt>
                <c:pt idx="172">
                  <c:v>1.09361</c:v>
                </c:pt>
                <c:pt idx="173">
                  <c:v>1.0928260000000001</c:v>
                </c:pt>
                <c:pt idx="174">
                  <c:v>1.095601</c:v>
                </c:pt>
                <c:pt idx="175">
                  <c:v>1.079099</c:v>
                </c:pt>
                <c:pt idx="176">
                  <c:v>1.0924929999999999</c:v>
                </c:pt>
                <c:pt idx="177">
                  <c:v>1.0708960000000001</c:v>
                </c:pt>
                <c:pt idx="178">
                  <c:v>1.0927100000000001</c:v>
                </c:pt>
                <c:pt idx="179">
                  <c:v>1.072152</c:v>
                </c:pt>
                <c:pt idx="180">
                  <c:v>1.0676399999999999</c:v>
                </c:pt>
                <c:pt idx="181">
                  <c:v>1.043018</c:v>
                </c:pt>
                <c:pt idx="182">
                  <c:v>1.0654570000000001</c:v>
                </c:pt>
                <c:pt idx="183">
                  <c:v>1.123999</c:v>
                </c:pt>
                <c:pt idx="184">
                  <c:v>1.1047819999999999</c:v>
                </c:pt>
                <c:pt idx="185">
                  <c:v>1.1410009999999999</c:v>
                </c:pt>
                <c:pt idx="186">
                  <c:v>1.084457</c:v>
                </c:pt>
                <c:pt idx="187">
                  <c:v>1.110249</c:v>
                </c:pt>
                <c:pt idx="188">
                  <c:v>1.141613</c:v>
                </c:pt>
                <c:pt idx="189">
                  <c:v>1.162215</c:v>
                </c:pt>
                <c:pt idx="190">
                  <c:v>1.191708</c:v>
                </c:pt>
                <c:pt idx="191">
                  <c:v>1.2008559999999999</c:v>
                </c:pt>
                <c:pt idx="192">
                  <c:v>1.218683</c:v>
                </c:pt>
                <c:pt idx="193">
                  <c:v>1.2361059999999999</c:v>
                </c:pt>
                <c:pt idx="194">
                  <c:v>1.2604580000000001</c:v>
                </c:pt>
                <c:pt idx="195">
                  <c:v>1.21418</c:v>
                </c:pt>
                <c:pt idx="196">
                  <c:v>1.2276069999999999</c:v>
                </c:pt>
                <c:pt idx="197">
                  <c:v>1.25553</c:v>
                </c:pt>
                <c:pt idx="198">
                  <c:v>1.278667</c:v>
                </c:pt>
                <c:pt idx="199">
                  <c:v>1.2532369999999999</c:v>
                </c:pt>
                <c:pt idx="200">
                  <c:v>1.249452</c:v>
                </c:pt>
                <c:pt idx="201">
                  <c:v>0.56032700000000002</c:v>
                </c:pt>
                <c:pt idx="202">
                  <c:v>0.55757900000000005</c:v>
                </c:pt>
                <c:pt idx="203">
                  <c:v>0.56175399999999998</c:v>
                </c:pt>
                <c:pt idx="204">
                  <c:v>0.51230100000000001</c:v>
                </c:pt>
                <c:pt idx="205">
                  <c:v>0.51395999999999997</c:v>
                </c:pt>
                <c:pt idx="206">
                  <c:v>0.567685</c:v>
                </c:pt>
                <c:pt idx="207">
                  <c:v>0.59148299999999998</c:v>
                </c:pt>
                <c:pt idx="208">
                  <c:v>0.58792800000000001</c:v>
                </c:pt>
                <c:pt idx="209">
                  <c:v>0.58873500000000001</c:v>
                </c:pt>
                <c:pt idx="210">
                  <c:v>0.58762000000000003</c:v>
                </c:pt>
                <c:pt idx="211">
                  <c:v>0.58664099999999997</c:v>
                </c:pt>
                <c:pt idx="212">
                  <c:v>0.54118999999999995</c:v>
                </c:pt>
                <c:pt idx="213">
                  <c:v>0.54178300000000001</c:v>
                </c:pt>
                <c:pt idx="214">
                  <c:v>0.54342000000000001</c:v>
                </c:pt>
                <c:pt idx="215">
                  <c:v>0.589669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9-4E6C-91FD-DFDB1022C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748143"/>
        <c:axId val="792749103"/>
      </c:lineChart>
      <c:dateAx>
        <c:axId val="792748143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9103"/>
        <c:crosses val="autoZero"/>
        <c:auto val="1"/>
        <c:lblOffset val="100"/>
        <c:baseTimeUnit val="days"/>
      </c:dateAx>
      <c:valAx>
        <c:axId val="7927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8143"/>
        <c:crosses val="autoZero"/>
        <c:crossBetween val="between"/>
      </c:valAx>
      <c:valAx>
        <c:axId val="121603888"/>
        <c:scaling>
          <c:orientation val="minMax"/>
          <c:min val="23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1605328"/>
        <c:crosses val="max"/>
        <c:crossBetween val="between"/>
      </c:valAx>
      <c:dateAx>
        <c:axId val="121605328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crossAx val="1216038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产品序列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产品序列!$B$1</c:f>
              <c:strCache>
                <c:ptCount val="1"/>
                <c:pt idx="0">
                  <c:v>权益产品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产品序列!$A$2:$A$217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产品序列!$B$2:$B$217</c:f>
              <c:numCache>
                <c:formatCode>0.00%</c:formatCode>
                <c:ptCount val="216"/>
                <c:pt idx="0">
                  <c:v>0.109708</c:v>
                </c:pt>
                <c:pt idx="1">
                  <c:v>0.11035399999999999</c:v>
                </c:pt>
                <c:pt idx="2">
                  <c:v>0.111734</c:v>
                </c:pt>
                <c:pt idx="3">
                  <c:v>0.11276700000000001</c:v>
                </c:pt>
                <c:pt idx="4">
                  <c:v>0.11486200000000001</c:v>
                </c:pt>
                <c:pt idx="5">
                  <c:v>0.11003499999999999</c:v>
                </c:pt>
                <c:pt idx="6">
                  <c:v>0.115749</c:v>
                </c:pt>
                <c:pt idx="7">
                  <c:v>0.114744</c:v>
                </c:pt>
                <c:pt idx="8">
                  <c:v>0.114895</c:v>
                </c:pt>
                <c:pt idx="9">
                  <c:v>0.115533</c:v>
                </c:pt>
                <c:pt idx="10">
                  <c:v>0.11586399999999999</c:v>
                </c:pt>
                <c:pt idx="11">
                  <c:v>0.11617</c:v>
                </c:pt>
                <c:pt idx="12">
                  <c:v>0.11522399999999999</c:v>
                </c:pt>
                <c:pt idx="13">
                  <c:v>0.114343</c:v>
                </c:pt>
                <c:pt idx="14">
                  <c:v>0.11677700000000001</c:v>
                </c:pt>
                <c:pt idx="15">
                  <c:v>0.11083999999999999</c:v>
                </c:pt>
                <c:pt idx="16">
                  <c:v>0.111501</c:v>
                </c:pt>
                <c:pt idx="17">
                  <c:v>0.116729</c:v>
                </c:pt>
                <c:pt idx="18">
                  <c:v>0.120659</c:v>
                </c:pt>
                <c:pt idx="19">
                  <c:v>0.122753</c:v>
                </c:pt>
                <c:pt idx="20">
                  <c:v>0.12300800000000001</c:v>
                </c:pt>
                <c:pt idx="21">
                  <c:v>0.121492</c:v>
                </c:pt>
                <c:pt idx="22">
                  <c:v>0.121778</c:v>
                </c:pt>
                <c:pt idx="23">
                  <c:v>0.12114800000000001</c:v>
                </c:pt>
                <c:pt idx="24">
                  <c:v>0.121338</c:v>
                </c:pt>
                <c:pt idx="25">
                  <c:v>0.122099</c:v>
                </c:pt>
                <c:pt idx="26">
                  <c:v>9.3340999999999993E-2</c:v>
                </c:pt>
                <c:pt idx="27">
                  <c:v>5.9898E-2</c:v>
                </c:pt>
                <c:pt idx="28">
                  <c:v>5.9150000000000001E-2</c:v>
                </c:pt>
                <c:pt idx="29">
                  <c:v>6.0401000000000003E-2</c:v>
                </c:pt>
                <c:pt idx="30">
                  <c:v>6.0398E-2</c:v>
                </c:pt>
                <c:pt idx="31">
                  <c:v>6.8353999999999998E-2</c:v>
                </c:pt>
                <c:pt idx="32">
                  <c:v>6.9181999999999994E-2</c:v>
                </c:pt>
                <c:pt idx="33">
                  <c:v>6.9608000000000003E-2</c:v>
                </c:pt>
                <c:pt idx="34">
                  <c:v>6.7333000000000004E-2</c:v>
                </c:pt>
                <c:pt idx="35">
                  <c:v>6.7517999999999995E-2</c:v>
                </c:pt>
                <c:pt idx="36">
                  <c:v>6.6833000000000004E-2</c:v>
                </c:pt>
                <c:pt idx="37">
                  <c:v>6.7483000000000001E-2</c:v>
                </c:pt>
                <c:pt idx="38">
                  <c:v>6.7303000000000002E-2</c:v>
                </c:pt>
                <c:pt idx="39">
                  <c:v>6.7933999999999994E-2</c:v>
                </c:pt>
                <c:pt idx="40">
                  <c:v>6.8475999999999995E-2</c:v>
                </c:pt>
                <c:pt idx="41">
                  <c:v>6.8530999999999995E-2</c:v>
                </c:pt>
                <c:pt idx="42">
                  <c:v>6.9184999999999997E-2</c:v>
                </c:pt>
                <c:pt idx="43">
                  <c:v>7.2026999999999994E-2</c:v>
                </c:pt>
                <c:pt idx="44">
                  <c:v>7.1584999999999996E-2</c:v>
                </c:pt>
                <c:pt idx="45">
                  <c:v>7.0446999999999996E-2</c:v>
                </c:pt>
                <c:pt idx="46">
                  <c:v>7.0354E-2</c:v>
                </c:pt>
                <c:pt idx="47">
                  <c:v>6.9373000000000004E-2</c:v>
                </c:pt>
                <c:pt idx="48">
                  <c:v>7.0013000000000006E-2</c:v>
                </c:pt>
                <c:pt idx="49">
                  <c:v>6.9592000000000001E-2</c:v>
                </c:pt>
                <c:pt idx="50">
                  <c:v>6.9246000000000002E-2</c:v>
                </c:pt>
                <c:pt idx="51">
                  <c:v>7.0044999999999996E-2</c:v>
                </c:pt>
                <c:pt idx="52">
                  <c:v>7.0017999999999997E-2</c:v>
                </c:pt>
                <c:pt idx="53">
                  <c:v>6.9504999999999997E-2</c:v>
                </c:pt>
                <c:pt idx="54">
                  <c:v>6.9776000000000005E-2</c:v>
                </c:pt>
                <c:pt idx="55">
                  <c:v>7.0078000000000001E-2</c:v>
                </c:pt>
                <c:pt idx="56">
                  <c:v>7.0657999999999999E-2</c:v>
                </c:pt>
                <c:pt idx="57">
                  <c:v>6.9906999999999997E-2</c:v>
                </c:pt>
                <c:pt idx="58">
                  <c:v>7.1123000000000006E-2</c:v>
                </c:pt>
                <c:pt idx="59">
                  <c:v>7.1006E-2</c:v>
                </c:pt>
                <c:pt idx="60">
                  <c:v>7.0812E-2</c:v>
                </c:pt>
                <c:pt idx="61">
                  <c:v>7.0557999999999996E-2</c:v>
                </c:pt>
                <c:pt idx="62">
                  <c:v>6.8694000000000005E-2</c:v>
                </c:pt>
                <c:pt idx="63">
                  <c:v>6.8292000000000005E-2</c:v>
                </c:pt>
                <c:pt idx="64">
                  <c:v>6.8364999999999995E-2</c:v>
                </c:pt>
                <c:pt idx="65">
                  <c:v>6.8886000000000003E-2</c:v>
                </c:pt>
                <c:pt idx="66">
                  <c:v>6.8631999999999999E-2</c:v>
                </c:pt>
                <c:pt idx="67">
                  <c:v>7.6096999999999998E-2</c:v>
                </c:pt>
                <c:pt idx="68">
                  <c:v>6.9334999999999994E-2</c:v>
                </c:pt>
                <c:pt idx="69">
                  <c:v>7.7066999999999997E-2</c:v>
                </c:pt>
                <c:pt idx="70">
                  <c:v>7.7078999999999995E-2</c:v>
                </c:pt>
                <c:pt idx="71">
                  <c:v>7.8058000000000002E-2</c:v>
                </c:pt>
                <c:pt idx="72">
                  <c:v>7.6078999999999994E-2</c:v>
                </c:pt>
                <c:pt idx="73">
                  <c:v>7.4795E-2</c:v>
                </c:pt>
                <c:pt idx="74">
                  <c:v>8.6352999999999999E-2</c:v>
                </c:pt>
                <c:pt idx="75">
                  <c:v>9.5771999999999996E-2</c:v>
                </c:pt>
                <c:pt idx="76">
                  <c:v>8.8081000000000007E-2</c:v>
                </c:pt>
                <c:pt idx="77">
                  <c:v>8.9562000000000003E-2</c:v>
                </c:pt>
                <c:pt idx="78">
                  <c:v>9.0823000000000001E-2</c:v>
                </c:pt>
                <c:pt idx="79">
                  <c:v>9.0576000000000004E-2</c:v>
                </c:pt>
                <c:pt idx="80">
                  <c:v>9.1009000000000007E-2</c:v>
                </c:pt>
                <c:pt idx="81">
                  <c:v>9.1906000000000002E-2</c:v>
                </c:pt>
                <c:pt idx="82">
                  <c:v>9.2649999999999996E-2</c:v>
                </c:pt>
                <c:pt idx="83">
                  <c:v>9.4874E-2</c:v>
                </c:pt>
                <c:pt idx="84">
                  <c:v>0.12587400000000001</c:v>
                </c:pt>
                <c:pt idx="85">
                  <c:v>0.14774399999999999</c:v>
                </c:pt>
                <c:pt idx="86">
                  <c:v>0.164966</c:v>
                </c:pt>
                <c:pt idx="87">
                  <c:v>0.16316</c:v>
                </c:pt>
                <c:pt idx="88">
                  <c:v>0.166106</c:v>
                </c:pt>
                <c:pt idx="89">
                  <c:v>0.170319</c:v>
                </c:pt>
                <c:pt idx="90">
                  <c:v>0.17025199999999999</c:v>
                </c:pt>
                <c:pt idx="91">
                  <c:v>0.16944400000000001</c:v>
                </c:pt>
                <c:pt idx="92">
                  <c:v>0.16684199999999999</c:v>
                </c:pt>
                <c:pt idx="93">
                  <c:v>0.157971</c:v>
                </c:pt>
                <c:pt idx="94">
                  <c:v>0.16173499999999999</c:v>
                </c:pt>
                <c:pt idx="95">
                  <c:v>0.164995</c:v>
                </c:pt>
                <c:pt idx="96">
                  <c:v>0.165995</c:v>
                </c:pt>
                <c:pt idx="97">
                  <c:v>0.16251199999999999</c:v>
                </c:pt>
                <c:pt idx="98">
                  <c:v>0.16330600000000001</c:v>
                </c:pt>
                <c:pt idx="99">
                  <c:v>0.16156999999999999</c:v>
                </c:pt>
                <c:pt idx="100">
                  <c:v>0.162795</c:v>
                </c:pt>
                <c:pt idx="101">
                  <c:v>0.162021</c:v>
                </c:pt>
                <c:pt idx="102">
                  <c:v>0.16341900000000001</c:v>
                </c:pt>
                <c:pt idx="103">
                  <c:v>0.19314999999999999</c:v>
                </c:pt>
                <c:pt idx="104">
                  <c:v>0.19025800000000001</c:v>
                </c:pt>
                <c:pt idx="105">
                  <c:v>0.20047100000000001</c:v>
                </c:pt>
                <c:pt idx="106">
                  <c:v>0.20003499999999999</c:v>
                </c:pt>
                <c:pt idx="107">
                  <c:v>0.167569</c:v>
                </c:pt>
                <c:pt idx="108">
                  <c:v>0.166912</c:v>
                </c:pt>
                <c:pt idx="109">
                  <c:v>0.16924</c:v>
                </c:pt>
                <c:pt idx="110">
                  <c:v>0.17347899999999999</c:v>
                </c:pt>
                <c:pt idx="111">
                  <c:v>0.17391699999999999</c:v>
                </c:pt>
                <c:pt idx="112">
                  <c:v>0.17320199999999999</c:v>
                </c:pt>
                <c:pt idx="113">
                  <c:v>0.17178099999999999</c:v>
                </c:pt>
                <c:pt idx="114">
                  <c:v>0.17203299999999999</c:v>
                </c:pt>
                <c:pt idx="115">
                  <c:v>0.16658000000000001</c:v>
                </c:pt>
                <c:pt idx="116">
                  <c:v>0.16595799999999999</c:v>
                </c:pt>
                <c:pt idx="117">
                  <c:v>0.17033200000000001</c:v>
                </c:pt>
                <c:pt idx="118">
                  <c:v>0.174707</c:v>
                </c:pt>
                <c:pt idx="119">
                  <c:v>0.17419399999999999</c:v>
                </c:pt>
                <c:pt idx="120">
                  <c:v>0.17272499999999999</c:v>
                </c:pt>
                <c:pt idx="121">
                  <c:v>0.172318</c:v>
                </c:pt>
                <c:pt idx="122">
                  <c:v>0.17252799999999999</c:v>
                </c:pt>
                <c:pt idx="123">
                  <c:v>0.17307800000000001</c:v>
                </c:pt>
                <c:pt idx="124">
                  <c:v>0.17494199999999999</c:v>
                </c:pt>
                <c:pt idx="125">
                  <c:v>0.17066400000000001</c:v>
                </c:pt>
                <c:pt idx="126">
                  <c:v>0.17231099999999999</c:v>
                </c:pt>
                <c:pt idx="127">
                  <c:v>0.168017</c:v>
                </c:pt>
                <c:pt idx="128">
                  <c:v>0.16775899999999999</c:v>
                </c:pt>
                <c:pt idx="129">
                  <c:v>0.16747999999999999</c:v>
                </c:pt>
                <c:pt idx="130">
                  <c:v>0.16624900000000001</c:v>
                </c:pt>
                <c:pt idx="131">
                  <c:v>0.170407</c:v>
                </c:pt>
                <c:pt idx="132">
                  <c:v>0.17288400000000001</c:v>
                </c:pt>
                <c:pt idx="133">
                  <c:v>0.17096800000000001</c:v>
                </c:pt>
                <c:pt idx="134">
                  <c:v>0.169624</c:v>
                </c:pt>
                <c:pt idx="135">
                  <c:v>0.17555999999999999</c:v>
                </c:pt>
                <c:pt idx="136">
                  <c:v>0.17424300000000001</c:v>
                </c:pt>
                <c:pt idx="137">
                  <c:v>0.174572</c:v>
                </c:pt>
                <c:pt idx="138">
                  <c:v>0.17546500000000001</c:v>
                </c:pt>
                <c:pt idx="139">
                  <c:v>0.173429</c:v>
                </c:pt>
                <c:pt idx="140">
                  <c:v>0.17527799999999999</c:v>
                </c:pt>
                <c:pt idx="141">
                  <c:v>0.174787</c:v>
                </c:pt>
                <c:pt idx="142">
                  <c:v>0.17294799999999999</c:v>
                </c:pt>
                <c:pt idx="143">
                  <c:v>0.16530500000000001</c:v>
                </c:pt>
                <c:pt idx="144">
                  <c:v>0.16342300000000001</c:v>
                </c:pt>
                <c:pt idx="145">
                  <c:v>0.147594</c:v>
                </c:pt>
                <c:pt idx="146">
                  <c:v>0.147011</c:v>
                </c:pt>
                <c:pt idx="147">
                  <c:v>0.15542900000000001</c:v>
                </c:pt>
                <c:pt idx="148">
                  <c:v>0.156087</c:v>
                </c:pt>
                <c:pt idx="149">
                  <c:v>0.15632799999999999</c:v>
                </c:pt>
                <c:pt idx="150">
                  <c:v>0.155559</c:v>
                </c:pt>
                <c:pt idx="151">
                  <c:v>0.15762399999999999</c:v>
                </c:pt>
                <c:pt idx="152">
                  <c:v>0.15749199999999999</c:v>
                </c:pt>
                <c:pt idx="153">
                  <c:v>0.161493</c:v>
                </c:pt>
                <c:pt idx="154">
                  <c:v>0.158191</c:v>
                </c:pt>
                <c:pt idx="155">
                  <c:v>0.15420400000000001</c:v>
                </c:pt>
                <c:pt idx="156">
                  <c:v>0.15453</c:v>
                </c:pt>
                <c:pt idx="157">
                  <c:v>0.15445900000000001</c:v>
                </c:pt>
                <c:pt idx="158">
                  <c:v>0.15431900000000001</c:v>
                </c:pt>
                <c:pt idx="159">
                  <c:v>0.15420700000000001</c:v>
                </c:pt>
                <c:pt idx="160">
                  <c:v>0.15387700000000001</c:v>
                </c:pt>
                <c:pt idx="161">
                  <c:v>0.15249399999999999</c:v>
                </c:pt>
                <c:pt idx="162">
                  <c:v>0.15417700000000001</c:v>
                </c:pt>
                <c:pt idx="163">
                  <c:v>0.153754</c:v>
                </c:pt>
                <c:pt idx="164">
                  <c:v>0.15265100000000001</c:v>
                </c:pt>
                <c:pt idx="165">
                  <c:v>0.15201999999999999</c:v>
                </c:pt>
                <c:pt idx="166">
                  <c:v>0.15185699999999999</c:v>
                </c:pt>
                <c:pt idx="167">
                  <c:v>0.15060699999999999</c:v>
                </c:pt>
                <c:pt idx="168">
                  <c:v>0.150116</c:v>
                </c:pt>
                <c:pt idx="169">
                  <c:v>0.15093300000000001</c:v>
                </c:pt>
                <c:pt idx="170">
                  <c:v>0.146259</c:v>
                </c:pt>
                <c:pt idx="171">
                  <c:v>0.14643700000000001</c:v>
                </c:pt>
                <c:pt idx="172">
                  <c:v>0.14476900000000001</c:v>
                </c:pt>
                <c:pt idx="173">
                  <c:v>0.14532600000000001</c:v>
                </c:pt>
                <c:pt idx="174">
                  <c:v>0.14698</c:v>
                </c:pt>
                <c:pt idx="175">
                  <c:v>0.14846599999999999</c:v>
                </c:pt>
                <c:pt idx="176">
                  <c:v>0.14912300000000001</c:v>
                </c:pt>
                <c:pt idx="177">
                  <c:v>0.15628800000000001</c:v>
                </c:pt>
                <c:pt idx="178">
                  <c:v>0.15683900000000001</c:v>
                </c:pt>
                <c:pt idx="179">
                  <c:v>0.161796</c:v>
                </c:pt>
                <c:pt idx="180">
                  <c:v>0.16420999999999999</c:v>
                </c:pt>
                <c:pt idx="181">
                  <c:v>0.17561399999999999</c:v>
                </c:pt>
                <c:pt idx="182">
                  <c:v>0.177677</c:v>
                </c:pt>
                <c:pt idx="183">
                  <c:v>0.16428100000000001</c:v>
                </c:pt>
                <c:pt idx="184">
                  <c:v>0.167517</c:v>
                </c:pt>
                <c:pt idx="185">
                  <c:v>0.16566800000000001</c:v>
                </c:pt>
                <c:pt idx="186">
                  <c:v>0.17036899999999999</c:v>
                </c:pt>
                <c:pt idx="187">
                  <c:v>0.185445</c:v>
                </c:pt>
                <c:pt idx="188">
                  <c:v>0.204258</c:v>
                </c:pt>
                <c:pt idx="189">
                  <c:v>0.20088600000000001</c:v>
                </c:pt>
                <c:pt idx="190">
                  <c:v>0.203037</c:v>
                </c:pt>
                <c:pt idx="191">
                  <c:v>0.20303299999999999</c:v>
                </c:pt>
                <c:pt idx="192">
                  <c:v>0.20410300000000001</c:v>
                </c:pt>
                <c:pt idx="193">
                  <c:v>0.20619000000000001</c:v>
                </c:pt>
                <c:pt idx="194">
                  <c:v>0.20504500000000001</c:v>
                </c:pt>
                <c:pt idx="195">
                  <c:v>0.19853699999999999</c:v>
                </c:pt>
                <c:pt idx="196">
                  <c:v>0.19867899999999999</c:v>
                </c:pt>
                <c:pt idx="197">
                  <c:v>0.197266</c:v>
                </c:pt>
                <c:pt idx="198">
                  <c:v>0.19573499999999999</c:v>
                </c:pt>
                <c:pt idx="199">
                  <c:v>0.19534299999999999</c:v>
                </c:pt>
                <c:pt idx="200">
                  <c:v>0.19747700000000001</c:v>
                </c:pt>
                <c:pt idx="201">
                  <c:v>0.19659699999999999</c:v>
                </c:pt>
                <c:pt idx="202">
                  <c:v>0.20038600000000001</c:v>
                </c:pt>
                <c:pt idx="203">
                  <c:v>0.19939000000000001</c:v>
                </c:pt>
                <c:pt idx="204">
                  <c:v>0.20266899999999999</c:v>
                </c:pt>
                <c:pt idx="205">
                  <c:v>0.19955400000000001</c:v>
                </c:pt>
                <c:pt idx="206">
                  <c:v>0.19760900000000001</c:v>
                </c:pt>
                <c:pt idx="207">
                  <c:v>0.195852</c:v>
                </c:pt>
                <c:pt idx="208">
                  <c:v>0.19674900000000001</c:v>
                </c:pt>
                <c:pt idx="209">
                  <c:v>0.19438</c:v>
                </c:pt>
                <c:pt idx="210">
                  <c:v>0.19375300000000001</c:v>
                </c:pt>
                <c:pt idx="211">
                  <c:v>0.19697799999999999</c:v>
                </c:pt>
                <c:pt idx="212">
                  <c:v>0.199325</c:v>
                </c:pt>
                <c:pt idx="213">
                  <c:v>0.20055899999999999</c:v>
                </c:pt>
                <c:pt idx="214">
                  <c:v>0.20025699999999999</c:v>
                </c:pt>
                <c:pt idx="215">
                  <c:v>0.19653999999999999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0-4039-A82A-2D7907C7D47D}"/>
            </c:ext>
          </c:extLst>
        </c:ser>
        <c:ser>
          <c:idx val="1"/>
          <c:order val="1"/>
          <c:tx>
            <c:strRef>
              <c:f>产品序列!$C$1</c:f>
              <c:strCache>
                <c:ptCount val="1"/>
                <c:pt idx="0">
                  <c:v>固收产品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产品序列!$A$2:$A$217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产品序列!$C$2:$C$217</c:f>
              <c:numCache>
                <c:formatCode>0%</c:formatCode>
                <c:ptCount val="216"/>
                <c:pt idx="0">
                  <c:v>0.32912399999999997</c:v>
                </c:pt>
                <c:pt idx="1">
                  <c:v>0.33106199999999997</c:v>
                </c:pt>
                <c:pt idx="2">
                  <c:v>0.335202</c:v>
                </c:pt>
                <c:pt idx="3">
                  <c:v>0.33830100000000002</c:v>
                </c:pt>
                <c:pt idx="4">
                  <c:v>0.344586</c:v>
                </c:pt>
                <c:pt idx="5">
                  <c:v>0.33010499999999998</c:v>
                </c:pt>
                <c:pt idx="6">
                  <c:v>0.34724700000000003</c:v>
                </c:pt>
                <c:pt idx="7">
                  <c:v>0.34423199999999998</c:v>
                </c:pt>
                <c:pt idx="8">
                  <c:v>0.34468500000000002</c:v>
                </c:pt>
                <c:pt idx="9">
                  <c:v>0.34659899999999999</c:v>
                </c:pt>
                <c:pt idx="10">
                  <c:v>0.34759200000000001</c:v>
                </c:pt>
                <c:pt idx="11">
                  <c:v>0.34850999999999999</c:v>
                </c:pt>
                <c:pt idx="12">
                  <c:v>0.34567199999999998</c:v>
                </c:pt>
                <c:pt idx="13">
                  <c:v>0.34302900000000003</c:v>
                </c:pt>
                <c:pt idx="14">
                  <c:v>0.350331</c:v>
                </c:pt>
                <c:pt idx="15">
                  <c:v>0.33251999999999998</c:v>
                </c:pt>
                <c:pt idx="16">
                  <c:v>0.33450299999999999</c:v>
                </c:pt>
                <c:pt idx="17">
                  <c:v>0.35018700000000003</c:v>
                </c:pt>
                <c:pt idx="18">
                  <c:v>0.36197699999999999</c:v>
                </c:pt>
                <c:pt idx="19">
                  <c:v>0.368259</c:v>
                </c:pt>
                <c:pt idx="20">
                  <c:v>0.36902400000000002</c:v>
                </c:pt>
                <c:pt idx="21">
                  <c:v>0.36447600000000002</c:v>
                </c:pt>
                <c:pt idx="22">
                  <c:v>0.36533399999999999</c:v>
                </c:pt>
                <c:pt idx="23">
                  <c:v>0.36344399999999999</c:v>
                </c:pt>
                <c:pt idx="24">
                  <c:v>0.364014</c:v>
                </c:pt>
                <c:pt idx="25">
                  <c:v>0.36629699999999998</c:v>
                </c:pt>
                <c:pt idx="26">
                  <c:v>0.28002299999999997</c:v>
                </c:pt>
                <c:pt idx="27">
                  <c:v>0.17969399999999999</c:v>
                </c:pt>
                <c:pt idx="28">
                  <c:v>0.17745</c:v>
                </c:pt>
                <c:pt idx="29">
                  <c:v>0.181203</c:v>
                </c:pt>
                <c:pt idx="30">
                  <c:v>0.18119399999999999</c:v>
                </c:pt>
                <c:pt idx="31">
                  <c:v>0.20506199999999999</c:v>
                </c:pt>
                <c:pt idx="32">
                  <c:v>0.20754599999999998</c:v>
                </c:pt>
                <c:pt idx="33">
                  <c:v>0.20882400000000001</c:v>
                </c:pt>
                <c:pt idx="34">
                  <c:v>0.20199900000000001</c:v>
                </c:pt>
                <c:pt idx="35">
                  <c:v>0.20255399999999998</c:v>
                </c:pt>
                <c:pt idx="36">
                  <c:v>0.20049900000000001</c:v>
                </c:pt>
                <c:pt idx="37">
                  <c:v>0.20244899999999999</c:v>
                </c:pt>
                <c:pt idx="38">
                  <c:v>0.20190900000000001</c:v>
                </c:pt>
                <c:pt idx="39">
                  <c:v>0.20380199999999998</c:v>
                </c:pt>
                <c:pt idx="40">
                  <c:v>0.205428</c:v>
                </c:pt>
                <c:pt idx="41">
                  <c:v>0.20559299999999997</c:v>
                </c:pt>
                <c:pt idx="42">
                  <c:v>0.20755499999999999</c:v>
                </c:pt>
                <c:pt idx="43">
                  <c:v>0.21608099999999997</c:v>
                </c:pt>
                <c:pt idx="44">
                  <c:v>0.21475499999999997</c:v>
                </c:pt>
                <c:pt idx="45">
                  <c:v>0.211341</c:v>
                </c:pt>
                <c:pt idx="46">
                  <c:v>0.211062</c:v>
                </c:pt>
                <c:pt idx="47">
                  <c:v>0.208119</c:v>
                </c:pt>
                <c:pt idx="48">
                  <c:v>0.21003900000000003</c:v>
                </c:pt>
                <c:pt idx="49">
                  <c:v>0.20877600000000002</c:v>
                </c:pt>
                <c:pt idx="50">
                  <c:v>0.20773800000000001</c:v>
                </c:pt>
                <c:pt idx="51">
                  <c:v>0.21013499999999999</c:v>
                </c:pt>
                <c:pt idx="52">
                  <c:v>0.21005399999999999</c:v>
                </c:pt>
                <c:pt idx="53">
                  <c:v>0.20851500000000001</c:v>
                </c:pt>
                <c:pt idx="54">
                  <c:v>0.20932800000000001</c:v>
                </c:pt>
                <c:pt idx="55">
                  <c:v>0.210234</c:v>
                </c:pt>
                <c:pt idx="56">
                  <c:v>0.211974</c:v>
                </c:pt>
                <c:pt idx="57">
                  <c:v>0.20972099999999999</c:v>
                </c:pt>
                <c:pt idx="58">
                  <c:v>0.21336900000000003</c:v>
                </c:pt>
                <c:pt idx="59">
                  <c:v>0.21301799999999999</c:v>
                </c:pt>
                <c:pt idx="60">
                  <c:v>0.21243600000000001</c:v>
                </c:pt>
                <c:pt idx="61">
                  <c:v>0.21167399999999997</c:v>
                </c:pt>
                <c:pt idx="62">
                  <c:v>0.20608200000000002</c:v>
                </c:pt>
                <c:pt idx="63">
                  <c:v>0.204876</c:v>
                </c:pt>
                <c:pt idx="64">
                  <c:v>0.20509499999999997</c:v>
                </c:pt>
                <c:pt idx="65">
                  <c:v>0.20665800000000001</c:v>
                </c:pt>
                <c:pt idx="66">
                  <c:v>0.205896</c:v>
                </c:pt>
                <c:pt idx="67">
                  <c:v>0.22829099999999999</c:v>
                </c:pt>
                <c:pt idx="68">
                  <c:v>0.208005</c:v>
                </c:pt>
                <c:pt idx="69">
                  <c:v>0.23120099999999999</c:v>
                </c:pt>
                <c:pt idx="70">
                  <c:v>0.23123699999999997</c:v>
                </c:pt>
                <c:pt idx="71">
                  <c:v>0.23417399999999999</c:v>
                </c:pt>
                <c:pt idx="72">
                  <c:v>0.22823699999999997</c:v>
                </c:pt>
                <c:pt idx="73">
                  <c:v>0.224385</c:v>
                </c:pt>
                <c:pt idx="74">
                  <c:v>0.25905899999999998</c:v>
                </c:pt>
                <c:pt idx="75">
                  <c:v>0.28731600000000002</c:v>
                </c:pt>
                <c:pt idx="76">
                  <c:v>0.26424300000000001</c:v>
                </c:pt>
                <c:pt idx="77">
                  <c:v>0.26868599999999998</c:v>
                </c:pt>
                <c:pt idx="78">
                  <c:v>0.27246900000000002</c:v>
                </c:pt>
                <c:pt idx="79">
                  <c:v>0.27172800000000003</c:v>
                </c:pt>
                <c:pt idx="80">
                  <c:v>0.27302700000000002</c:v>
                </c:pt>
                <c:pt idx="81">
                  <c:v>0.27571800000000002</c:v>
                </c:pt>
                <c:pt idx="82">
                  <c:v>0.27794999999999997</c:v>
                </c:pt>
                <c:pt idx="83">
                  <c:v>0.28462199999999999</c:v>
                </c:pt>
                <c:pt idx="84">
                  <c:v>0.37762200000000001</c:v>
                </c:pt>
                <c:pt idx="85">
                  <c:v>0.44323199999999996</c:v>
                </c:pt>
                <c:pt idx="86">
                  <c:v>0.494898</c:v>
                </c:pt>
                <c:pt idx="87">
                  <c:v>0.48948000000000003</c:v>
                </c:pt>
                <c:pt idx="88">
                  <c:v>0.49831800000000004</c:v>
                </c:pt>
                <c:pt idx="89">
                  <c:v>0.51095699999999999</c:v>
                </c:pt>
                <c:pt idx="90">
                  <c:v>0.51075599999999999</c:v>
                </c:pt>
                <c:pt idx="91">
                  <c:v>0.50833200000000001</c:v>
                </c:pt>
                <c:pt idx="92">
                  <c:v>0.50052600000000003</c:v>
                </c:pt>
                <c:pt idx="93">
                  <c:v>0.47391300000000003</c:v>
                </c:pt>
                <c:pt idx="94">
                  <c:v>0.485205</c:v>
                </c:pt>
                <c:pt idx="95">
                  <c:v>0.49498500000000001</c:v>
                </c:pt>
                <c:pt idx="96">
                  <c:v>0.49798500000000001</c:v>
                </c:pt>
                <c:pt idx="97">
                  <c:v>0.48753599999999997</c:v>
                </c:pt>
                <c:pt idx="98">
                  <c:v>0.48991800000000002</c:v>
                </c:pt>
                <c:pt idx="99">
                  <c:v>0.48470999999999997</c:v>
                </c:pt>
                <c:pt idx="100">
                  <c:v>0.48838499999999996</c:v>
                </c:pt>
                <c:pt idx="101">
                  <c:v>0.48606300000000002</c:v>
                </c:pt>
                <c:pt idx="102">
                  <c:v>0.49025700000000005</c:v>
                </c:pt>
                <c:pt idx="103">
                  <c:v>0.57945000000000002</c:v>
                </c:pt>
                <c:pt idx="104">
                  <c:v>0.570774</c:v>
                </c:pt>
                <c:pt idx="105">
                  <c:v>0.60141299999999998</c:v>
                </c:pt>
                <c:pt idx="106">
                  <c:v>0.600105</c:v>
                </c:pt>
                <c:pt idx="107">
                  <c:v>0.50270700000000001</c:v>
                </c:pt>
                <c:pt idx="108">
                  <c:v>0.50073600000000007</c:v>
                </c:pt>
                <c:pt idx="109">
                  <c:v>0.50771999999999995</c:v>
                </c:pt>
                <c:pt idx="110">
                  <c:v>0.52043700000000004</c:v>
                </c:pt>
                <c:pt idx="111">
                  <c:v>0.52175099999999996</c:v>
                </c:pt>
                <c:pt idx="112">
                  <c:v>0.51960600000000001</c:v>
                </c:pt>
                <c:pt idx="113">
                  <c:v>0.515343</c:v>
                </c:pt>
                <c:pt idx="114">
                  <c:v>0.51609899999999997</c:v>
                </c:pt>
                <c:pt idx="115">
                  <c:v>0.49974000000000002</c:v>
                </c:pt>
                <c:pt idx="116">
                  <c:v>0.49787399999999998</c:v>
                </c:pt>
                <c:pt idx="117">
                  <c:v>0.51099600000000001</c:v>
                </c:pt>
                <c:pt idx="118">
                  <c:v>0.52412100000000006</c:v>
                </c:pt>
                <c:pt idx="119">
                  <c:v>0.52258199999999999</c:v>
                </c:pt>
                <c:pt idx="120">
                  <c:v>0.51817499999999994</c:v>
                </c:pt>
                <c:pt idx="121">
                  <c:v>0.51695400000000002</c:v>
                </c:pt>
                <c:pt idx="122">
                  <c:v>0.51758399999999993</c:v>
                </c:pt>
                <c:pt idx="123">
                  <c:v>0.51923399999999997</c:v>
                </c:pt>
                <c:pt idx="124">
                  <c:v>0.52482600000000001</c:v>
                </c:pt>
                <c:pt idx="125">
                  <c:v>0.511992</c:v>
                </c:pt>
                <c:pt idx="126">
                  <c:v>0.51693299999999998</c:v>
                </c:pt>
                <c:pt idx="127">
                  <c:v>0.50405100000000003</c:v>
                </c:pt>
                <c:pt idx="128">
                  <c:v>0.50327699999999997</c:v>
                </c:pt>
                <c:pt idx="129">
                  <c:v>0.50244</c:v>
                </c:pt>
                <c:pt idx="130">
                  <c:v>0.49874700000000005</c:v>
                </c:pt>
                <c:pt idx="131">
                  <c:v>0.51122100000000004</c:v>
                </c:pt>
                <c:pt idx="132">
                  <c:v>0.518652</c:v>
                </c:pt>
                <c:pt idx="133">
                  <c:v>0.51290400000000003</c:v>
                </c:pt>
                <c:pt idx="134">
                  <c:v>0.50887199999999999</c:v>
                </c:pt>
                <c:pt idx="135">
                  <c:v>0.52668000000000004</c:v>
                </c:pt>
                <c:pt idx="136">
                  <c:v>0.522729</c:v>
                </c:pt>
                <c:pt idx="137">
                  <c:v>0.52371600000000007</c:v>
                </c:pt>
                <c:pt idx="138">
                  <c:v>0.52639500000000006</c:v>
                </c:pt>
                <c:pt idx="139">
                  <c:v>0.52028699999999994</c:v>
                </c:pt>
                <c:pt idx="140">
                  <c:v>0.52583399999999991</c:v>
                </c:pt>
                <c:pt idx="141">
                  <c:v>0.52436099999999997</c:v>
                </c:pt>
                <c:pt idx="142">
                  <c:v>0.51884399999999997</c:v>
                </c:pt>
                <c:pt idx="143">
                  <c:v>0.49591499999999999</c:v>
                </c:pt>
                <c:pt idx="144">
                  <c:v>0.49026900000000007</c:v>
                </c:pt>
                <c:pt idx="145">
                  <c:v>0.44278200000000001</c:v>
                </c:pt>
                <c:pt idx="146">
                  <c:v>0.44103300000000001</c:v>
                </c:pt>
                <c:pt idx="147">
                  <c:v>0.46628700000000001</c:v>
                </c:pt>
                <c:pt idx="148">
                  <c:v>0.46826100000000004</c:v>
                </c:pt>
                <c:pt idx="149">
                  <c:v>0.46898399999999996</c:v>
                </c:pt>
                <c:pt idx="150">
                  <c:v>0.46667700000000001</c:v>
                </c:pt>
                <c:pt idx="151">
                  <c:v>0.47287199999999996</c:v>
                </c:pt>
                <c:pt idx="152">
                  <c:v>0.47247600000000001</c:v>
                </c:pt>
                <c:pt idx="153">
                  <c:v>0.48447899999999999</c:v>
                </c:pt>
                <c:pt idx="154">
                  <c:v>0.47457300000000002</c:v>
                </c:pt>
                <c:pt idx="155">
                  <c:v>0.46261200000000002</c:v>
                </c:pt>
                <c:pt idx="156">
                  <c:v>0.46359</c:v>
                </c:pt>
                <c:pt idx="157">
                  <c:v>0.46337700000000004</c:v>
                </c:pt>
                <c:pt idx="158">
                  <c:v>0.46295700000000006</c:v>
                </c:pt>
                <c:pt idx="159">
                  <c:v>0.46262100000000006</c:v>
                </c:pt>
                <c:pt idx="160">
                  <c:v>0.46163100000000001</c:v>
                </c:pt>
                <c:pt idx="161">
                  <c:v>0.45748199999999994</c:v>
                </c:pt>
                <c:pt idx="162">
                  <c:v>0.46253100000000003</c:v>
                </c:pt>
                <c:pt idx="163">
                  <c:v>0.46126200000000001</c:v>
                </c:pt>
                <c:pt idx="164">
                  <c:v>0.45795300000000005</c:v>
                </c:pt>
                <c:pt idx="165">
                  <c:v>0.45605999999999997</c:v>
                </c:pt>
                <c:pt idx="166">
                  <c:v>0.45557099999999995</c:v>
                </c:pt>
                <c:pt idx="167">
                  <c:v>0.45182099999999997</c:v>
                </c:pt>
                <c:pt idx="168">
                  <c:v>0.45034799999999997</c:v>
                </c:pt>
                <c:pt idx="169">
                  <c:v>0.45279900000000006</c:v>
                </c:pt>
                <c:pt idx="170">
                  <c:v>0.43877699999999997</c:v>
                </c:pt>
                <c:pt idx="171">
                  <c:v>0.43931100000000001</c:v>
                </c:pt>
                <c:pt idx="172">
                  <c:v>0.434307</c:v>
                </c:pt>
                <c:pt idx="173">
                  <c:v>0.43597800000000003</c:v>
                </c:pt>
                <c:pt idx="174">
                  <c:v>0.44094</c:v>
                </c:pt>
                <c:pt idx="175">
                  <c:v>0.44539799999999996</c:v>
                </c:pt>
                <c:pt idx="176">
                  <c:v>0.44736900000000002</c:v>
                </c:pt>
                <c:pt idx="177">
                  <c:v>0.46886400000000006</c:v>
                </c:pt>
                <c:pt idx="178">
                  <c:v>0.47051700000000002</c:v>
                </c:pt>
                <c:pt idx="179">
                  <c:v>0.48538799999999999</c:v>
                </c:pt>
                <c:pt idx="180">
                  <c:v>0.49263000000000001</c:v>
                </c:pt>
                <c:pt idx="181">
                  <c:v>0.52684200000000003</c:v>
                </c:pt>
                <c:pt idx="182">
                  <c:v>0.53303100000000003</c:v>
                </c:pt>
                <c:pt idx="183">
                  <c:v>0.49284300000000003</c:v>
                </c:pt>
                <c:pt idx="184">
                  <c:v>0.50255099999999997</c:v>
                </c:pt>
                <c:pt idx="185">
                  <c:v>0.497004</c:v>
                </c:pt>
                <c:pt idx="186">
                  <c:v>0.51110699999999998</c:v>
                </c:pt>
                <c:pt idx="187">
                  <c:v>0.55633500000000002</c:v>
                </c:pt>
                <c:pt idx="188">
                  <c:v>0.61277399999999993</c:v>
                </c:pt>
                <c:pt idx="189">
                  <c:v>0.60265800000000003</c:v>
                </c:pt>
                <c:pt idx="190">
                  <c:v>0.60911099999999996</c:v>
                </c:pt>
                <c:pt idx="191">
                  <c:v>0.60909899999999995</c:v>
                </c:pt>
                <c:pt idx="192">
                  <c:v>0.61230899999999999</c:v>
                </c:pt>
                <c:pt idx="193">
                  <c:v>0.61857000000000006</c:v>
                </c:pt>
                <c:pt idx="194">
                  <c:v>0.61513499999999999</c:v>
                </c:pt>
                <c:pt idx="195">
                  <c:v>0.595611</c:v>
                </c:pt>
                <c:pt idx="196">
                  <c:v>0.59603699999999993</c:v>
                </c:pt>
                <c:pt idx="197">
                  <c:v>0.59179800000000005</c:v>
                </c:pt>
                <c:pt idx="198">
                  <c:v>0.58720499999999998</c:v>
                </c:pt>
                <c:pt idx="199">
                  <c:v>0.58602899999999991</c:v>
                </c:pt>
                <c:pt idx="200">
                  <c:v>0.59243100000000004</c:v>
                </c:pt>
                <c:pt idx="201">
                  <c:v>0.58979099999999995</c:v>
                </c:pt>
                <c:pt idx="202">
                  <c:v>0.60115800000000008</c:v>
                </c:pt>
                <c:pt idx="203">
                  <c:v>0.59817000000000009</c:v>
                </c:pt>
                <c:pt idx="204">
                  <c:v>0.60800699999999996</c:v>
                </c:pt>
                <c:pt idx="205">
                  <c:v>0.59866200000000003</c:v>
                </c:pt>
                <c:pt idx="206">
                  <c:v>0.59282699999999999</c:v>
                </c:pt>
                <c:pt idx="207">
                  <c:v>0.58755599999999997</c:v>
                </c:pt>
                <c:pt idx="208">
                  <c:v>0.59024699999999997</c:v>
                </c:pt>
                <c:pt idx="209">
                  <c:v>0.58313999999999999</c:v>
                </c:pt>
                <c:pt idx="210">
                  <c:v>0.58125899999999997</c:v>
                </c:pt>
                <c:pt idx="211">
                  <c:v>0.59093399999999996</c:v>
                </c:pt>
                <c:pt idx="212">
                  <c:v>0.59797500000000003</c:v>
                </c:pt>
                <c:pt idx="213">
                  <c:v>0.60167700000000002</c:v>
                </c:pt>
                <c:pt idx="214">
                  <c:v>0.60077099999999994</c:v>
                </c:pt>
                <c:pt idx="215">
                  <c:v>0.58962000000000003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0-4039-A82A-2D7907C7D47D}"/>
            </c:ext>
          </c:extLst>
        </c:ser>
        <c:ser>
          <c:idx val="2"/>
          <c:order val="2"/>
          <c:tx>
            <c:strRef>
              <c:f>产品序列!$D$1</c:f>
              <c:strCache>
                <c:ptCount val="1"/>
                <c:pt idx="0">
                  <c:v>流动性产品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产品序列!$A$2:$A$217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产品序列!$D$2:$D$217</c:f>
              <c:numCache>
                <c:formatCode>0%</c:formatCode>
                <c:ptCount val="216"/>
                <c:pt idx="0">
                  <c:v>0.561168</c:v>
                </c:pt>
                <c:pt idx="1">
                  <c:v>0.55858400000000008</c:v>
                </c:pt>
                <c:pt idx="2">
                  <c:v>0.553064</c:v>
                </c:pt>
                <c:pt idx="3">
                  <c:v>0.54893199999999998</c:v>
                </c:pt>
                <c:pt idx="4">
                  <c:v>0.54055199999999992</c:v>
                </c:pt>
                <c:pt idx="5">
                  <c:v>0.55986000000000002</c:v>
                </c:pt>
                <c:pt idx="6">
                  <c:v>0.53700400000000004</c:v>
                </c:pt>
                <c:pt idx="7">
                  <c:v>0.54102400000000006</c:v>
                </c:pt>
                <c:pt idx="8">
                  <c:v>0.54042000000000001</c:v>
                </c:pt>
                <c:pt idx="9">
                  <c:v>0.53786800000000001</c:v>
                </c:pt>
                <c:pt idx="10">
                  <c:v>0.53654400000000002</c:v>
                </c:pt>
                <c:pt idx="11">
                  <c:v>0.53532000000000002</c:v>
                </c:pt>
                <c:pt idx="12">
                  <c:v>0.53910400000000003</c:v>
                </c:pt>
                <c:pt idx="13">
                  <c:v>0.542628</c:v>
                </c:pt>
                <c:pt idx="14">
                  <c:v>0.53289199999999992</c:v>
                </c:pt>
                <c:pt idx="15">
                  <c:v>0.55664000000000002</c:v>
                </c:pt>
                <c:pt idx="16">
                  <c:v>0.55399600000000004</c:v>
                </c:pt>
                <c:pt idx="17">
                  <c:v>0.533084</c:v>
                </c:pt>
                <c:pt idx="18">
                  <c:v>0.51736400000000005</c:v>
                </c:pt>
                <c:pt idx="19">
                  <c:v>0.508988</c:v>
                </c:pt>
                <c:pt idx="20">
                  <c:v>0.50796799999999998</c:v>
                </c:pt>
                <c:pt idx="21">
                  <c:v>0.51403199999999993</c:v>
                </c:pt>
                <c:pt idx="22">
                  <c:v>0.51288800000000001</c:v>
                </c:pt>
                <c:pt idx="23">
                  <c:v>0.51540799999999998</c:v>
                </c:pt>
                <c:pt idx="24">
                  <c:v>0.51464799999999999</c:v>
                </c:pt>
                <c:pt idx="25">
                  <c:v>0.51160400000000006</c:v>
                </c:pt>
                <c:pt idx="26">
                  <c:v>0.62663599999999997</c:v>
                </c:pt>
                <c:pt idx="27">
                  <c:v>0.76040799999999997</c:v>
                </c:pt>
                <c:pt idx="28">
                  <c:v>0.76339999999999997</c:v>
                </c:pt>
                <c:pt idx="29">
                  <c:v>0.75839599999999996</c:v>
                </c:pt>
                <c:pt idx="30">
                  <c:v>0.75840800000000008</c:v>
                </c:pt>
                <c:pt idx="31">
                  <c:v>0.72658400000000001</c:v>
                </c:pt>
                <c:pt idx="32">
                  <c:v>0.72327200000000003</c:v>
                </c:pt>
                <c:pt idx="33">
                  <c:v>0.72156799999999999</c:v>
                </c:pt>
                <c:pt idx="34">
                  <c:v>0.73066799999999998</c:v>
                </c:pt>
                <c:pt idx="35">
                  <c:v>0.72992800000000002</c:v>
                </c:pt>
                <c:pt idx="36">
                  <c:v>0.73266799999999999</c:v>
                </c:pt>
                <c:pt idx="37">
                  <c:v>0.73006800000000005</c:v>
                </c:pt>
                <c:pt idx="38">
                  <c:v>0.73078799999999999</c:v>
                </c:pt>
                <c:pt idx="39">
                  <c:v>0.72826400000000002</c:v>
                </c:pt>
                <c:pt idx="40">
                  <c:v>0.72609600000000007</c:v>
                </c:pt>
                <c:pt idx="41">
                  <c:v>0.72587599999999997</c:v>
                </c:pt>
                <c:pt idx="42">
                  <c:v>0.72326000000000001</c:v>
                </c:pt>
                <c:pt idx="43">
                  <c:v>0.71189200000000008</c:v>
                </c:pt>
                <c:pt idx="44">
                  <c:v>0.71365999999999996</c:v>
                </c:pt>
                <c:pt idx="45">
                  <c:v>0.71821199999999996</c:v>
                </c:pt>
                <c:pt idx="46">
                  <c:v>0.718584</c:v>
                </c:pt>
                <c:pt idx="47">
                  <c:v>0.72250799999999993</c:v>
                </c:pt>
                <c:pt idx="48">
                  <c:v>0.71994800000000003</c:v>
                </c:pt>
                <c:pt idx="49">
                  <c:v>0.72163200000000005</c:v>
                </c:pt>
                <c:pt idx="50">
                  <c:v>0.72301599999999999</c:v>
                </c:pt>
                <c:pt idx="51">
                  <c:v>0.71982000000000002</c:v>
                </c:pt>
                <c:pt idx="52">
                  <c:v>0.71992800000000001</c:v>
                </c:pt>
                <c:pt idx="53">
                  <c:v>0.72197999999999996</c:v>
                </c:pt>
                <c:pt idx="54">
                  <c:v>0.72089599999999998</c:v>
                </c:pt>
                <c:pt idx="55">
                  <c:v>0.71968799999999999</c:v>
                </c:pt>
                <c:pt idx="56">
                  <c:v>0.71736800000000001</c:v>
                </c:pt>
                <c:pt idx="57">
                  <c:v>0.72037200000000001</c:v>
                </c:pt>
                <c:pt idx="58">
                  <c:v>0.71550799999999992</c:v>
                </c:pt>
                <c:pt idx="59">
                  <c:v>0.71597599999999995</c:v>
                </c:pt>
                <c:pt idx="60">
                  <c:v>0.71675200000000006</c:v>
                </c:pt>
                <c:pt idx="61">
                  <c:v>0.71776799999999996</c:v>
                </c:pt>
                <c:pt idx="62">
                  <c:v>0.72522399999999998</c:v>
                </c:pt>
                <c:pt idx="63">
                  <c:v>0.72683199999999992</c:v>
                </c:pt>
                <c:pt idx="64">
                  <c:v>0.72653999999999996</c:v>
                </c:pt>
                <c:pt idx="65">
                  <c:v>0.72445599999999999</c:v>
                </c:pt>
                <c:pt idx="66">
                  <c:v>0.72547200000000001</c:v>
                </c:pt>
                <c:pt idx="67">
                  <c:v>0.69561200000000001</c:v>
                </c:pt>
                <c:pt idx="68">
                  <c:v>0.72265999999999997</c:v>
                </c:pt>
                <c:pt idx="69">
                  <c:v>0.69173200000000001</c:v>
                </c:pt>
                <c:pt idx="70">
                  <c:v>0.69168399999999997</c:v>
                </c:pt>
                <c:pt idx="71">
                  <c:v>0.68776800000000005</c:v>
                </c:pt>
                <c:pt idx="72">
                  <c:v>0.69568399999999997</c:v>
                </c:pt>
                <c:pt idx="73">
                  <c:v>0.70082</c:v>
                </c:pt>
                <c:pt idx="74">
                  <c:v>0.65458799999999995</c:v>
                </c:pt>
                <c:pt idx="75">
                  <c:v>0.61691200000000002</c:v>
                </c:pt>
                <c:pt idx="76">
                  <c:v>0.64767600000000003</c:v>
                </c:pt>
                <c:pt idx="77">
                  <c:v>0.64175199999999999</c:v>
                </c:pt>
                <c:pt idx="78">
                  <c:v>0.63670800000000005</c:v>
                </c:pt>
                <c:pt idx="79">
                  <c:v>0.63769600000000004</c:v>
                </c:pt>
                <c:pt idx="80">
                  <c:v>0.63596399999999997</c:v>
                </c:pt>
                <c:pt idx="81">
                  <c:v>0.63237599999999994</c:v>
                </c:pt>
                <c:pt idx="82">
                  <c:v>0.62939999999999996</c:v>
                </c:pt>
                <c:pt idx="83">
                  <c:v>0.62050399999999994</c:v>
                </c:pt>
                <c:pt idx="84">
                  <c:v>0.49650399999999995</c:v>
                </c:pt>
                <c:pt idx="85">
                  <c:v>0.40902400000000005</c:v>
                </c:pt>
                <c:pt idx="86">
                  <c:v>0.34013600000000005</c:v>
                </c:pt>
                <c:pt idx="87">
                  <c:v>0.34736</c:v>
                </c:pt>
                <c:pt idx="88">
                  <c:v>0.33557599999999999</c:v>
                </c:pt>
                <c:pt idx="89">
                  <c:v>0.31872400000000001</c:v>
                </c:pt>
                <c:pt idx="90">
                  <c:v>0.31899200000000005</c:v>
                </c:pt>
                <c:pt idx="91">
                  <c:v>0.32222399999999995</c:v>
                </c:pt>
                <c:pt idx="92">
                  <c:v>0.33263200000000004</c:v>
                </c:pt>
                <c:pt idx="93">
                  <c:v>0.368116</c:v>
                </c:pt>
                <c:pt idx="94">
                  <c:v>0.35306000000000004</c:v>
                </c:pt>
                <c:pt idx="95">
                  <c:v>0.34001999999999999</c:v>
                </c:pt>
                <c:pt idx="96">
                  <c:v>0.33601999999999999</c:v>
                </c:pt>
                <c:pt idx="97">
                  <c:v>0.34995200000000004</c:v>
                </c:pt>
                <c:pt idx="98">
                  <c:v>0.34677600000000003</c:v>
                </c:pt>
                <c:pt idx="99">
                  <c:v>0.35372000000000003</c:v>
                </c:pt>
                <c:pt idx="100">
                  <c:v>0.34882000000000002</c:v>
                </c:pt>
                <c:pt idx="101">
                  <c:v>0.35191600000000001</c:v>
                </c:pt>
                <c:pt idx="102">
                  <c:v>0.34632399999999997</c:v>
                </c:pt>
                <c:pt idx="103">
                  <c:v>0.22740000000000005</c:v>
                </c:pt>
                <c:pt idx="104">
                  <c:v>0.23896799999999996</c:v>
                </c:pt>
                <c:pt idx="105">
                  <c:v>0.19811599999999996</c:v>
                </c:pt>
                <c:pt idx="106">
                  <c:v>0.19986000000000004</c:v>
                </c:pt>
                <c:pt idx="107">
                  <c:v>0.32972400000000002</c:v>
                </c:pt>
                <c:pt idx="108">
                  <c:v>0.33235199999999998</c:v>
                </c:pt>
                <c:pt idx="109">
                  <c:v>0.32303999999999999</c:v>
                </c:pt>
                <c:pt idx="110">
                  <c:v>0.30608400000000002</c:v>
                </c:pt>
                <c:pt idx="111">
                  <c:v>0.30433200000000005</c:v>
                </c:pt>
                <c:pt idx="112">
                  <c:v>0.30719200000000002</c:v>
                </c:pt>
                <c:pt idx="113">
                  <c:v>0.31287600000000004</c:v>
                </c:pt>
                <c:pt idx="114">
                  <c:v>0.31186800000000003</c:v>
                </c:pt>
                <c:pt idx="115">
                  <c:v>0.33368000000000003</c:v>
                </c:pt>
                <c:pt idx="116">
                  <c:v>0.33616799999999997</c:v>
                </c:pt>
                <c:pt idx="117">
                  <c:v>0.31867199999999996</c:v>
                </c:pt>
                <c:pt idx="118">
                  <c:v>0.301172</c:v>
                </c:pt>
                <c:pt idx="119">
                  <c:v>0.30322400000000005</c:v>
                </c:pt>
                <c:pt idx="120">
                  <c:v>0.30910000000000004</c:v>
                </c:pt>
                <c:pt idx="121">
                  <c:v>0.310728</c:v>
                </c:pt>
                <c:pt idx="122">
                  <c:v>0.30988800000000005</c:v>
                </c:pt>
                <c:pt idx="123">
                  <c:v>0.30768799999999996</c:v>
                </c:pt>
                <c:pt idx="124">
                  <c:v>0.30023200000000005</c:v>
                </c:pt>
                <c:pt idx="125">
                  <c:v>0.31734399999999996</c:v>
                </c:pt>
                <c:pt idx="126">
                  <c:v>0.31075600000000003</c:v>
                </c:pt>
                <c:pt idx="127">
                  <c:v>0.327932</c:v>
                </c:pt>
                <c:pt idx="128">
                  <c:v>0.32896400000000003</c:v>
                </c:pt>
                <c:pt idx="129">
                  <c:v>0.33008000000000004</c:v>
                </c:pt>
                <c:pt idx="130">
                  <c:v>0.33500399999999997</c:v>
                </c:pt>
                <c:pt idx="131">
                  <c:v>0.31837199999999999</c:v>
                </c:pt>
                <c:pt idx="132">
                  <c:v>0.30846399999999996</c:v>
                </c:pt>
                <c:pt idx="133">
                  <c:v>0.31612799999999996</c:v>
                </c:pt>
                <c:pt idx="134">
                  <c:v>0.32150400000000001</c:v>
                </c:pt>
                <c:pt idx="135">
                  <c:v>0.29776000000000002</c:v>
                </c:pt>
                <c:pt idx="136">
                  <c:v>0.30302799999999996</c:v>
                </c:pt>
                <c:pt idx="137">
                  <c:v>0.30171199999999998</c:v>
                </c:pt>
                <c:pt idx="138">
                  <c:v>0.29813999999999996</c:v>
                </c:pt>
                <c:pt idx="139">
                  <c:v>0.306284</c:v>
                </c:pt>
                <c:pt idx="140">
                  <c:v>0.29888800000000004</c:v>
                </c:pt>
                <c:pt idx="141">
                  <c:v>0.30085200000000001</c:v>
                </c:pt>
                <c:pt idx="142">
                  <c:v>0.30820800000000004</c:v>
                </c:pt>
                <c:pt idx="143">
                  <c:v>0.33877999999999997</c:v>
                </c:pt>
                <c:pt idx="144">
                  <c:v>0.34630799999999995</c:v>
                </c:pt>
                <c:pt idx="145">
                  <c:v>0.40962399999999999</c:v>
                </c:pt>
                <c:pt idx="146">
                  <c:v>0.41195599999999999</c:v>
                </c:pt>
                <c:pt idx="147">
                  <c:v>0.37828399999999995</c:v>
                </c:pt>
                <c:pt idx="148">
                  <c:v>0.37565199999999999</c:v>
                </c:pt>
                <c:pt idx="149">
                  <c:v>0.37468800000000002</c:v>
                </c:pt>
                <c:pt idx="150">
                  <c:v>0.37776399999999999</c:v>
                </c:pt>
                <c:pt idx="151">
                  <c:v>0.36950400000000005</c:v>
                </c:pt>
                <c:pt idx="152">
                  <c:v>0.37003200000000003</c:v>
                </c:pt>
                <c:pt idx="153">
                  <c:v>0.35402800000000001</c:v>
                </c:pt>
                <c:pt idx="154">
                  <c:v>0.36723600000000001</c:v>
                </c:pt>
                <c:pt idx="155">
                  <c:v>0.38318399999999997</c:v>
                </c:pt>
                <c:pt idx="156">
                  <c:v>0.38187999999999994</c:v>
                </c:pt>
                <c:pt idx="157">
                  <c:v>0.38216399999999995</c:v>
                </c:pt>
                <c:pt idx="158">
                  <c:v>0.38272399999999995</c:v>
                </c:pt>
                <c:pt idx="159">
                  <c:v>0.38317199999999996</c:v>
                </c:pt>
                <c:pt idx="160">
                  <c:v>0.38449199999999994</c:v>
                </c:pt>
                <c:pt idx="161">
                  <c:v>0.39002400000000004</c:v>
                </c:pt>
                <c:pt idx="162">
                  <c:v>0.38329199999999997</c:v>
                </c:pt>
                <c:pt idx="163">
                  <c:v>0.38498400000000005</c:v>
                </c:pt>
                <c:pt idx="164">
                  <c:v>0.38939599999999996</c:v>
                </c:pt>
                <c:pt idx="165">
                  <c:v>0.39191999999999999</c:v>
                </c:pt>
                <c:pt idx="166">
                  <c:v>0.39257200000000003</c:v>
                </c:pt>
                <c:pt idx="167">
                  <c:v>0.39757200000000009</c:v>
                </c:pt>
                <c:pt idx="168">
                  <c:v>0.399536</c:v>
                </c:pt>
                <c:pt idx="169">
                  <c:v>0.39626799999999995</c:v>
                </c:pt>
                <c:pt idx="170">
                  <c:v>0.414964</c:v>
                </c:pt>
                <c:pt idx="171">
                  <c:v>0.41425199999999995</c:v>
                </c:pt>
                <c:pt idx="172">
                  <c:v>0.42092399999999996</c:v>
                </c:pt>
                <c:pt idx="173">
                  <c:v>0.4186959999999999</c:v>
                </c:pt>
                <c:pt idx="174">
                  <c:v>0.41208</c:v>
                </c:pt>
                <c:pt idx="175">
                  <c:v>0.40613600000000005</c:v>
                </c:pt>
                <c:pt idx="176">
                  <c:v>0.40350799999999998</c:v>
                </c:pt>
                <c:pt idx="177">
                  <c:v>0.37484799999999996</c:v>
                </c:pt>
                <c:pt idx="178">
                  <c:v>0.37264400000000003</c:v>
                </c:pt>
                <c:pt idx="179">
                  <c:v>0.35281599999999996</c:v>
                </c:pt>
                <c:pt idx="180">
                  <c:v>0.34316000000000002</c:v>
                </c:pt>
                <c:pt idx="181">
                  <c:v>0.29754400000000003</c:v>
                </c:pt>
                <c:pt idx="182">
                  <c:v>0.28929199999999999</c:v>
                </c:pt>
                <c:pt idx="183">
                  <c:v>0.34287599999999996</c:v>
                </c:pt>
                <c:pt idx="184">
                  <c:v>0.329932</c:v>
                </c:pt>
                <c:pt idx="185">
                  <c:v>0.33732799999999996</c:v>
                </c:pt>
                <c:pt idx="186">
                  <c:v>0.31852400000000003</c:v>
                </c:pt>
                <c:pt idx="187">
                  <c:v>0.25822000000000001</c:v>
                </c:pt>
                <c:pt idx="188">
                  <c:v>0.18296800000000002</c:v>
                </c:pt>
                <c:pt idx="189">
                  <c:v>0.19645599999999996</c:v>
                </c:pt>
                <c:pt idx="190">
                  <c:v>0.18785200000000002</c:v>
                </c:pt>
                <c:pt idx="191">
                  <c:v>0.18786800000000003</c:v>
                </c:pt>
                <c:pt idx="192">
                  <c:v>0.18358799999999997</c:v>
                </c:pt>
                <c:pt idx="193">
                  <c:v>0.17523999999999995</c:v>
                </c:pt>
                <c:pt idx="194">
                  <c:v>0.17981999999999998</c:v>
                </c:pt>
                <c:pt idx="195">
                  <c:v>0.20585200000000003</c:v>
                </c:pt>
                <c:pt idx="196">
                  <c:v>0.20528400000000002</c:v>
                </c:pt>
                <c:pt idx="197">
                  <c:v>0.21093600000000001</c:v>
                </c:pt>
                <c:pt idx="198">
                  <c:v>0.21706000000000003</c:v>
                </c:pt>
                <c:pt idx="199">
                  <c:v>0.21862800000000004</c:v>
                </c:pt>
                <c:pt idx="200">
                  <c:v>0.21009199999999995</c:v>
                </c:pt>
                <c:pt idx="201">
                  <c:v>0.21361200000000002</c:v>
                </c:pt>
                <c:pt idx="202">
                  <c:v>0.19845599999999997</c:v>
                </c:pt>
                <c:pt idx="203">
                  <c:v>0.20243999999999995</c:v>
                </c:pt>
                <c:pt idx="204">
                  <c:v>0.18932400000000005</c:v>
                </c:pt>
                <c:pt idx="205">
                  <c:v>0.20178399999999996</c:v>
                </c:pt>
                <c:pt idx="206">
                  <c:v>0.20956399999999997</c:v>
                </c:pt>
                <c:pt idx="207">
                  <c:v>0.21659200000000001</c:v>
                </c:pt>
                <c:pt idx="208">
                  <c:v>0.21300399999999997</c:v>
                </c:pt>
                <c:pt idx="209">
                  <c:v>0.22248000000000001</c:v>
                </c:pt>
                <c:pt idx="210">
                  <c:v>0.22498799999999997</c:v>
                </c:pt>
                <c:pt idx="211">
                  <c:v>0.21208800000000005</c:v>
                </c:pt>
                <c:pt idx="212">
                  <c:v>0.20269999999999999</c:v>
                </c:pt>
                <c:pt idx="213">
                  <c:v>0.19776400000000005</c:v>
                </c:pt>
                <c:pt idx="214">
                  <c:v>0.19897200000000004</c:v>
                </c:pt>
                <c:pt idx="215">
                  <c:v>0.21384000000000003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0-4039-A82A-2D7907C7D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748143"/>
        <c:axId val="792749103"/>
      </c:areaChart>
      <c:dateAx>
        <c:axId val="792748143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9103"/>
        <c:crosses val="autoZero"/>
        <c:auto val="1"/>
        <c:lblOffset val="100"/>
        <c:baseTimeUnit val="days"/>
      </c:dateAx>
      <c:valAx>
        <c:axId val="79274910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>
                <a:latin typeface="微软雅黑" panose="020B0503020204020204" pitchFamily="34" charset="-122"/>
                <a:ea typeface="微软雅黑" panose="020B0503020204020204" pitchFamily="34" charset="-122"/>
              </a:rPr>
              <a:t>持仓行业变动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权益分布行业!$B$1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权益分布行业!$B$2:$B$11</c:f>
              <c:numCache>
                <c:formatCode>#,##0.00</c:formatCode>
                <c:ptCount val="10"/>
                <c:pt idx="0">
                  <c:v>2.9219269376054871</c:v>
                </c:pt>
                <c:pt idx="1">
                  <c:v>0.94899096635772873</c:v>
                </c:pt>
                <c:pt idx="2">
                  <c:v>2.8502884776311568</c:v>
                </c:pt>
                <c:pt idx="3">
                  <c:v>0.5409283138316332</c:v>
                </c:pt>
                <c:pt idx="4">
                  <c:v>0.8714416656378825</c:v>
                </c:pt>
                <c:pt idx="5">
                  <c:v>0.45375193642814732</c:v>
                </c:pt>
                <c:pt idx="6">
                  <c:v>1.0332152020383765</c:v>
                </c:pt>
                <c:pt idx="7">
                  <c:v>0.18021681384134908</c:v>
                </c:pt>
                <c:pt idx="8">
                  <c:v>0.31632632620519846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D-4DEC-BBBD-799FE28F1C9D}"/>
            </c:ext>
          </c:extLst>
        </c:ser>
        <c:ser>
          <c:idx val="1"/>
          <c:order val="1"/>
          <c:tx>
            <c:strRef>
              <c:f>权益分布行业!$C$1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权益分布行业!$C$2:$C$11</c:f>
              <c:numCache>
                <c:formatCode>#,##0.00</c:formatCode>
                <c:ptCount val="10"/>
                <c:pt idx="0">
                  <c:v>3.8003823307106814</c:v>
                </c:pt>
                <c:pt idx="1">
                  <c:v>4.2791575600160359</c:v>
                </c:pt>
                <c:pt idx="2">
                  <c:v>2.2933359037067027</c:v>
                </c:pt>
                <c:pt idx="3">
                  <c:v>1.9806075942085448</c:v>
                </c:pt>
                <c:pt idx="4">
                  <c:v>1.2079135614939975</c:v>
                </c:pt>
                <c:pt idx="5">
                  <c:v>1.508442211990304</c:v>
                </c:pt>
                <c:pt idx="6">
                  <c:v>4.4356546703192209E-2</c:v>
                </c:pt>
                <c:pt idx="7">
                  <c:v>0.30414119068426038</c:v>
                </c:pt>
                <c:pt idx="8">
                  <c:v>8.0538304319624068E-2</c:v>
                </c:pt>
                <c:pt idx="9">
                  <c:v>0.22703939505572124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D-4DEC-BBBD-799FE28F1C9D}"/>
            </c:ext>
          </c:extLst>
        </c:ser>
        <c:ser>
          <c:idx val="2"/>
          <c:order val="2"/>
          <c:tx>
            <c:strRef>
              <c:f>权益分布行业!$D$1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权益分布行业!$D$2:$D$11</c:f>
              <c:numCache>
                <c:formatCode>#,##0.00</c:formatCode>
                <c:ptCount val="10"/>
                <c:pt idx="0">
                  <c:v>2.9488889760549797</c:v>
                </c:pt>
                <c:pt idx="1">
                  <c:v>3.0075228865928429</c:v>
                </c:pt>
                <c:pt idx="2">
                  <c:v>1.8527271228951632</c:v>
                </c:pt>
                <c:pt idx="3">
                  <c:v>1.4694736387719352</c:v>
                </c:pt>
                <c:pt idx="4">
                  <c:v>0.92543227821110319</c:v>
                </c:pt>
                <c:pt idx="5">
                  <c:v>0.93501108979278102</c:v>
                </c:pt>
                <c:pt idx="6">
                  <c:v>0.17440307628016963</c:v>
                </c:pt>
                <c:pt idx="7">
                  <c:v>0.20274788293307452</c:v>
                </c:pt>
                <c:pt idx="8">
                  <c:v>0.13439707537632042</c:v>
                </c:pt>
                <c:pt idx="9">
                  <c:v>0.1427693458735709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CD-4DEC-BBBD-799FE28F1C9D}"/>
            </c:ext>
          </c:extLst>
        </c:ser>
        <c:ser>
          <c:idx val="3"/>
          <c:order val="3"/>
          <c:tx>
            <c:strRef>
              <c:f>权益分布行业!$E$1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权益分布行业!$E$2:$E$11</c:f>
              <c:numCache>
                <c:formatCode>#,##0.00</c:formatCode>
                <c:ptCount val="10"/>
                <c:pt idx="0">
                  <c:v>2.9488889760549797</c:v>
                </c:pt>
                <c:pt idx="1">
                  <c:v>3.0075228865928429</c:v>
                </c:pt>
                <c:pt idx="2">
                  <c:v>1.8527271228951632</c:v>
                </c:pt>
                <c:pt idx="3">
                  <c:v>1.4694736387719352</c:v>
                </c:pt>
                <c:pt idx="4">
                  <c:v>0.92543227821110319</c:v>
                </c:pt>
                <c:pt idx="5">
                  <c:v>0.93501108979278102</c:v>
                </c:pt>
                <c:pt idx="6">
                  <c:v>0.17440307628016963</c:v>
                </c:pt>
                <c:pt idx="7">
                  <c:v>0.20274788293307452</c:v>
                </c:pt>
                <c:pt idx="8">
                  <c:v>0.13439707537632042</c:v>
                </c:pt>
                <c:pt idx="9">
                  <c:v>0.1427693458735709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CD-4DEC-BBBD-799FE28F1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404303"/>
        <c:axId val="431401903"/>
      </c:barChart>
      <c:catAx>
        <c:axId val="43140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401903"/>
        <c:crosses val="autoZero"/>
        <c:auto val="1"/>
        <c:lblAlgn val="ctr"/>
        <c:lblOffset val="100"/>
        <c:noMultiLvlLbl val="0"/>
      </c:catAx>
      <c:valAx>
        <c:axId val="4314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40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收益贡献对比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业绩归因图!$B$1</c:f>
              <c:strCache>
                <c:ptCount val="1"/>
                <c:pt idx="0">
                  <c:v>Q1收益贡献(%)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业绩归因图!$B$2:$B$6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8-4CF8-8CBC-107CCF7DFEC8}"/>
            </c:ext>
          </c:extLst>
        </c:ser>
        <c:ser>
          <c:idx val="1"/>
          <c:order val="1"/>
          <c:tx>
            <c:strRef>
              <c:f>业绩归因图!$C$1</c:f>
              <c:strCache>
                <c:ptCount val="1"/>
                <c:pt idx="0">
                  <c:v>Q2收益贡献(%)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业绩归因图!$C$2:$C$6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CF8-8CBC-107CCF7DFEC8}"/>
            </c:ext>
          </c:extLst>
        </c:ser>
        <c:ser>
          <c:idx val="2"/>
          <c:order val="2"/>
          <c:tx>
            <c:strRef>
              <c:f>业绩归因图!$D$1</c:f>
              <c:strCache>
                <c:ptCount val="1"/>
                <c:pt idx="0">
                  <c:v>Q3收益贡献(%)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业绩归因图!$D$2:$D$6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8-4CF8-8CBC-107CCF7DFEC8}"/>
            </c:ext>
          </c:extLst>
        </c:ser>
        <c:ser>
          <c:idx val="3"/>
          <c:order val="3"/>
          <c:tx>
            <c:strRef>
              <c:f>业绩归因图!$E$1</c:f>
              <c:strCache>
                <c:ptCount val="1"/>
                <c:pt idx="0">
                  <c:v>Q4收益贡献(%)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业绩归因图!$E$2:$E$6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8-4CF8-8CBC-107CCF7D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24511"/>
        <c:axId val="437121151"/>
      </c:barChart>
      <c:catAx>
        <c:axId val="43712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1151"/>
        <c:crosses val="autoZero"/>
        <c:auto val="1"/>
        <c:lblAlgn val="ctr"/>
        <c:lblOffset val="100"/>
        <c:noMultiLvlLbl val="0"/>
      </c:catAx>
      <c:valAx>
        <c:axId val="4371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收益率对比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业绩归因图!$F$1</c:f>
              <c:strCache>
                <c:ptCount val="1"/>
                <c:pt idx="0">
                  <c:v>Q1收益率(%)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业绩归因图!$F$2:$F$6</c:f>
              <c:numCache>
                <c:formatCode>#,##0.00</c:formatCode>
                <c:ptCount val="5"/>
                <c:pt idx="0">
                  <c:v>5</c:v>
                </c:pt>
                <c:pt idx="1">
                  <c:v>5.9153573037165001</c:v>
                </c:pt>
                <c:pt idx="2">
                  <c:v>2.9501078707790049</c:v>
                </c:pt>
                <c:pt idx="3">
                  <c:v>1.0893104024469564</c:v>
                </c:pt>
                <c:pt idx="4">
                  <c:v>-2.5542391013266754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5-4E8B-92E8-EE6A61DD9201}"/>
            </c:ext>
          </c:extLst>
        </c:ser>
        <c:ser>
          <c:idx val="1"/>
          <c:order val="1"/>
          <c:tx>
            <c:strRef>
              <c:f>业绩归因图!$G$1</c:f>
              <c:strCache>
                <c:ptCount val="1"/>
                <c:pt idx="0">
                  <c:v>Q2收益率(%)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业绩归因图!$G$2:$G$6</c:f>
              <c:numCache>
                <c:formatCode>#,##0.00</c:formatCode>
                <c:ptCount val="5"/>
                <c:pt idx="0">
                  <c:v>10.620375108119465</c:v>
                </c:pt>
                <c:pt idx="1">
                  <c:v>60.77312255133986</c:v>
                </c:pt>
                <c:pt idx="2">
                  <c:v>27.755962105279373</c:v>
                </c:pt>
                <c:pt idx="3">
                  <c:v>1.8131960810972723</c:v>
                </c:pt>
                <c:pt idx="4">
                  <c:v>-9.5071636559697321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5-4E8B-92E8-EE6A61DD9201}"/>
            </c:ext>
          </c:extLst>
        </c:ser>
        <c:ser>
          <c:idx val="2"/>
          <c:order val="2"/>
          <c:tx>
            <c:strRef>
              <c:f>业绩归因图!$H$1</c:f>
              <c:strCache>
                <c:ptCount val="1"/>
                <c:pt idx="0">
                  <c:v>Q3收益率(%)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业绩归因图!$H$2:$H$6</c:f>
              <c:numCache>
                <c:formatCode>#,##0.00</c:formatCode>
                <c:ptCount val="5"/>
                <c:pt idx="0">
                  <c:v>18.968608256493503</c:v>
                </c:pt>
                <c:pt idx="1">
                  <c:v>39.01048470704616</c:v>
                </c:pt>
                <c:pt idx="2">
                  <c:v>41.266935455907621</c:v>
                </c:pt>
                <c:pt idx="3">
                  <c:v>2.8178574304809882</c:v>
                </c:pt>
                <c:pt idx="4">
                  <c:v>-4.9222769350915589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45-4E8B-92E8-EE6A61DD9201}"/>
            </c:ext>
          </c:extLst>
        </c:ser>
        <c:ser>
          <c:idx val="3"/>
          <c:order val="3"/>
          <c:tx>
            <c:strRef>
              <c:f>业绩归因图!$I$1</c:f>
              <c:strCache>
                <c:ptCount val="1"/>
                <c:pt idx="0">
                  <c:v>Q4收益率(%)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业绩归因图!$I$2:$I$6</c:f>
              <c:numCache>
                <c:formatCode>#,##0.00</c:formatCode>
                <c:ptCount val="5"/>
                <c:pt idx="0">
                  <c:v>12.266901605148096</c:v>
                </c:pt>
                <c:pt idx="1">
                  <c:v>52.879365184380944</c:v>
                </c:pt>
                <c:pt idx="2">
                  <c:v>33.751938978619634</c:v>
                </c:pt>
                <c:pt idx="3">
                  <c:v>3.4830719970566504</c:v>
                </c:pt>
                <c:pt idx="4">
                  <c:v>-6.7457820881859751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45-4E8B-92E8-EE6A61DD9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24511"/>
        <c:axId val="437121151"/>
      </c:barChart>
      <c:catAx>
        <c:axId val="43712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1151"/>
        <c:crosses val="autoZero"/>
        <c:auto val="1"/>
        <c:lblAlgn val="ctr"/>
        <c:lblOffset val="100"/>
        <c:noMultiLvlLbl val="0"/>
      </c:catAx>
      <c:valAx>
        <c:axId val="4371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仓位对比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业绩归因图!$J$1</c:f>
              <c:strCache>
                <c:ptCount val="1"/>
                <c:pt idx="0">
                  <c:v>Q1平均仓位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业绩归因图!$J$2:$J$6</c:f>
              <c:numCache>
                <c:formatCode>#,##0.00</c:formatCode>
                <c:ptCount val="5"/>
                <c:pt idx="0">
                  <c:v>5</c:v>
                </c:pt>
                <c:pt idx="1">
                  <c:v>5.9153573037165001</c:v>
                </c:pt>
                <c:pt idx="2">
                  <c:v>2.9501078707790049</c:v>
                </c:pt>
                <c:pt idx="3">
                  <c:v>1.0893104024469564</c:v>
                </c:pt>
                <c:pt idx="4">
                  <c:v>-2.5542391013266754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E-4BD9-BEC5-4E8FC9C4618F}"/>
            </c:ext>
          </c:extLst>
        </c:ser>
        <c:ser>
          <c:idx val="1"/>
          <c:order val="1"/>
          <c:tx>
            <c:strRef>
              <c:f>业绩归因图!$K$1</c:f>
              <c:strCache>
                <c:ptCount val="1"/>
                <c:pt idx="0">
                  <c:v>Q2平均仓位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业绩归因图!$K$2:$K$6</c:f>
              <c:numCache>
                <c:formatCode>#,##0.00</c:formatCode>
                <c:ptCount val="5"/>
                <c:pt idx="0">
                  <c:v>10.620375108119465</c:v>
                </c:pt>
                <c:pt idx="1">
                  <c:v>60.77312255133986</c:v>
                </c:pt>
                <c:pt idx="2">
                  <c:v>27.755962105279373</c:v>
                </c:pt>
                <c:pt idx="3">
                  <c:v>1.8131960810972723</c:v>
                </c:pt>
                <c:pt idx="4">
                  <c:v>-9.5071636559697321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E-4BD9-BEC5-4E8FC9C4618F}"/>
            </c:ext>
          </c:extLst>
        </c:ser>
        <c:ser>
          <c:idx val="2"/>
          <c:order val="2"/>
          <c:tx>
            <c:strRef>
              <c:f>业绩归因图!$L$1</c:f>
              <c:strCache>
                <c:ptCount val="1"/>
                <c:pt idx="0">
                  <c:v>Q3平均仓位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业绩归因图!$L$2:$L$6</c:f>
              <c:numCache>
                <c:formatCode>#,##0.00</c:formatCode>
                <c:ptCount val="5"/>
                <c:pt idx="0">
                  <c:v>18.968608256493503</c:v>
                </c:pt>
                <c:pt idx="1">
                  <c:v>39.01048470704616</c:v>
                </c:pt>
                <c:pt idx="2">
                  <c:v>41.266935455907621</c:v>
                </c:pt>
                <c:pt idx="3">
                  <c:v>2.8178574304809882</c:v>
                </c:pt>
                <c:pt idx="4">
                  <c:v>-4.9222769350915589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E-4BD9-BEC5-4E8FC9C4618F}"/>
            </c:ext>
          </c:extLst>
        </c:ser>
        <c:ser>
          <c:idx val="3"/>
          <c:order val="3"/>
          <c:tx>
            <c:strRef>
              <c:f>业绩归因图!$M$1</c:f>
              <c:strCache>
                <c:ptCount val="1"/>
                <c:pt idx="0">
                  <c:v>Q4平均仓位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业绩归因图!$M$2:$M$6</c:f>
              <c:numCache>
                <c:formatCode>#,##0.00</c:formatCode>
                <c:ptCount val="5"/>
                <c:pt idx="0">
                  <c:v>12.266901605148096</c:v>
                </c:pt>
                <c:pt idx="1">
                  <c:v>52.879365184380944</c:v>
                </c:pt>
                <c:pt idx="2">
                  <c:v>33.751938978619634</c:v>
                </c:pt>
                <c:pt idx="3">
                  <c:v>3.4830719970566504</c:v>
                </c:pt>
                <c:pt idx="4">
                  <c:v>-6.7457820881859751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E-4BD9-BEC5-4E8FC9C4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24511"/>
        <c:axId val="437121151"/>
      </c:barChart>
      <c:catAx>
        <c:axId val="43712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1151"/>
        <c:crosses val="autoZero"/>
        <c:auto val="1"/>
        <c:lblAlgn val="ctr"/>
        <c:lblOffset val="100"/>
        <c:noMultiLvlLbl val="0"/>
      </c:catAx>
      <c:valAx>
        <c:axId val="4371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收益率</a:t>
            </a:r>
          </a:p>
        </c:rich>
      </c:tx>
      <c:layout>
        <c:manualLayout>
          <c:xMode val="edge"/>
          <c:yMode val="edge"/>
          <c:x val="0.41877825969945398"/>
          <c:y val="2.466158288524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3776359226833463E-2"/>
          <c:y val="0.21712057572173968"/>
          <c:w val="0.83083114521149171"/>
          <c:h val="0.49406755559774057"/>
        </c:manualLayout>
      </c:layout>
      <c:areaChart>
        <c:grouping val="standard"/>
        <c:varyColors val="0"/>
        <c:ser>
          <c:idx val="1"/>
          <c:order val="1"/>
          <c:tx>
            <c:strRef>
              <c:f>净值序列!$C$1</c:f>
              <c:strCache>
                <c:ptCount val="1"/>
                <c:pt idx="0">
                  <c:v>沪深300指数(收盘价)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净值序列!$A$2:$A$217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净值序列!$C$2:$C$217</c:f>
              <c:numCache>
                <c:formatCode>#,##0.00</c:formatCode>
                <c:ptCount val="216"/>
                <c:pt idx="0">
                  <c:v>3431.1098999999999</c:v>
                </c:pt>
                <c:pt idx="1">
                  <c:v>3386.3521999999998</c:v>
                </c:pt>
                <c:pt idx="2">
                  <c:v>3378.2970999999998</c:v>
                </c:pt>
                <c:pt idx="3">
                  <c:v>3347.0518999999999</c:v>
                </c:pt>
                <c:pt idx="4">
                  <c:v>3329.1113999999998</c:v>
                </c:pt>
                <c:pt idx="5">
                  <c:v>3286.0563999999999</c:v>
                </c:pt>
                <c:pt idx="6">
                  <c:v>3292.4994000000002</c:v>
                </c:pt>
                <c:pt idx="7">
                  <c:v>3277.1289999999999</c:v>
                </c:pt>
                <c:pt idx="8">
                  <c:v>3295.6716999999999</c:v>
                </c:pt>
                <c:pt idx="9">
                  <c:v>3284.1667000000002</c:v>
                </c:pt>
                <c:pt idx="10">
                  <c:v>3280.9195</c:v>
                </c:pt>
                <c:pt idx="11">
                  <c:v>3300.8762000000002</c:v>
                </c:pt>
                <c:pt idx="12">
                  <c:v>3229.0819999999999</c:v>
                </c:pt>
                <c:pt idx="13">
                  <c:v>3274.7285999999999</c:v>
                </c:pt>
                <c:pt idx="14">
                  <c:v>3269.7763</c:v>
                </c:pt>
                <c:pt idx="15">
                  <c:v>3218.9016000000001</c:v>
                </c:pt>
                <c:pt idx="16">
                  <c:v>3231.9328999999998</c:v>
                </c:pt>
                <c:pt idx="17">
                  <c:v>3277.1089000000002</c:v>
                </c:pt>
                <c:pt idx="18">
                  <c:v>3342.9189000000001</c:v>
                </c:pt>
                <c:pt idx="19">
                  <c:v>3333.8213000000001</c:v>
                </c:pt>
                <c:pt idx="20">
                  <c:v>3303.9603999999999</c:v>
                </c:pt>
                <c:pt idx="21">
                  <c:v>3245.0387000000001</c:v>
                </c:pt>
                <c:pt idx="22">
                  <c:v>3215.3517999999999</c:v>
                </c:pt>
                <c:pt idx="23">
                  <c:v>3217.7109</c:v>
                </c:pt>
                <c:pt idx="24">
                  <c:v>3179.6275999999998</c:v>
                </c:pt>
                <c:pt idx="25">
                  <c:v>3200.4218000000001</c:v>
                </c:pt>
                <c:pt idx="26">
                  <c:v>3311.6922</c:v>
                </c:pt>
                <c:pt idx="27">
                  <c:v>3343.6302999999998</c:v>
                </c:pt>
                <c:pt idx="28">
                  <c:v>3364.9297000000001</c:v>
                </c:pt>
                <c:pt idx="29">
                  <c:v>3403.8078</c:v>
                </c:pt>
                <c:pt idx="30">
                  <c:v>3410.8542000000002</c:v>
                </c:pt>
                <c:pt idx="31">
                  <c:v>3456.8712999999998</c:v>
                </c:pt>
                <c:pt idx="32">
                  <c:v>3486.6747</c:v>
                </c:pt>
                <c:pt idx="33">
                  <c:v>3489.7415999999998</c:v>
                </c:pt>
                <c:pt idx="34">
                  <c:v>3453.3584999999998</c:v>
                </c:pt>
                <c:pt idx="35">
                  <c:v>3494.7874000000002</c:v>
                </c:pt>
                <c:pt idx="36">
                  <c:v>3450.2597999999998</c:v>
                </c:pt>
                <c:pt idx="37">
                  <c:v>3516.0826000000002</c:v>
                </c:pt>
                <c:pt idx="38">
                  <c:v>3537.8038000000001</c:v>
                </c:pt>
                <c:pt idx="39">
                  <c:v>3540.8685999999998</c:v>
                </c:pt>
                <c:pt idx="40">
                  <c:v>3565.5142999999998</c:v>
                </c:pt>
                <c:pt idx="41">
                  <c:v>3551.0481</c:v>
                </c:pt>
                <c:pt idx="42">
                  <c:v>3529.7195000000002</c:v>
                </c:pt>
                <c:pt idx="43">
                  <c:v>3544.9099000000001</c:v>
                </c:pt>
                <c:pt idx="44">
                  <c:v>3589.2635</c:v>
                </c:pt>
                <c:pt idx="45">
                  <c:v>3597.4938999999999</c:v>
                </c:pt>
                <c:pt idx="46">
                  <c:v>3572.3609999999999</c:v>
                </c:pt>
                <c:pt idx="47">
                  <c:v>3562.2229000000002</c:v>
                </c:pt>
                <c:pt idx="48">
                  <c:v>3569.9929999999999</c:v>
                </c:pt>
                <c:pt idx="49">
                  <c:v>3603.5279999999998</c:v>
                </c:pt>
                <c:pt idx="50">
                  <c:v>3577.6302999999998</c:v>
                </c:pt>
                <c:pt idx="51">
                  <c:v>3585.3838000000001</c:v>
                </c:pt>
                <c:pt idx="52">
                  <c:v>3581.0902000000001</c:v>
                </c:pt>
                <c:pt idx="53">
                  <c:v>3545.0023000000001</c:v>
                </c:pt>
                <c:pt idx="54">
                  <c:v>3525.7633999999998</c:v>
                </c:pt>
                <c:pt idx="55">
                  <c:v>3543.7467000000001</c:v>
                </c:pt>
                <c:pt idx="56">
                  <c:v>3502.7865999999999</c:v>
                </c:pt>
                <c:pt idx="57">
                  <c:v>3520.9648000000002</c:v>
                </c:pt>
                <c:pt idx="58">
                  <c:v>3537.4843000000001</c:v>
                </c:pt>
                <c:pt idx="59">
                  <c:v>3595.6466</c:v>
                </c:pt>
                <c:pt idx="60">
                  <c:v>3580.6759000000002</c:v>
                </c:pt>
                <c:pt idx="61">
                  <c:v>3567.8031000000001</c:v>
                </c:pt>
                <c:pt idx="62">
                  <c:v>3536.4077000000002</c:v>
                </c:pt>
                <c:pt idx="63">
                  <c:v>3533.4870999999998</c:v>
                </c:pt>
                <c:pt idx="64">
                  <c:v>3504.7085999999999</c:v>
                </c:pt>
                <c:pt idx="65">
                  <c:v>3504.2447000000002</c:v>
                </c:pt>
                <c:pt idx="66">
                  <c:v>3475.8389000000002</c:v>
                </c:pt>
                <c:pt idx="67">
                  <c:v>3549.0758999999998</c:v>
                </c:pt>
                <c:pt idx="68">
                  <c:v>3511.1145999999999</c:v>
                </c:pt>
                <c:pt idx="69">
                  <c:v>3565.4029999999998</c:v>
                </c:pt>
                <c:pt idx="70">
                  <c:v>3569.8018000000002</c:v>
                </c:pt>
                <c:pt idx="71">
                  <c:v>3541.6619000000001</c:v>
                </c:pt>
                <c:pt idx="72">
                  <c:v>3530.9045000000001</c:v>
                </c:pt>
                <c:pt idx="73">
                  <c:v>3506.2249000000002</c:v>
                </c:pt>
                <c:pt idx="74">
                  <c:v>3521.6219000000001</c:v>
                </c:pt>
                <c:pt idx="75">
                  <c:v>3530.2813000000001</c:v>
                </c:pt>
                <c:pt idx="76">
                  <c:v>3584.2685999999999</c:v>
                </c:pt>
                <c:pt idx="77">
                  <c:v>3623.9124000000002</c:v>
                </c:pt>
                <c:pt idx="78">
                  <c:v>3604.3942999999999</c:v>
                </c:pt>
                <c:pt idx="79">
                  <c:v>3657.8766999999998</c:v>
                </c:pt>
                <c:pt idx="80">
                  <c:v>3659.0075999999999</c:v>
                </c:pt>
                <c:pt idx="81">
                  <c:v>3630.2233000000001</c:v>
                </c:pt>
                <c:pt idx="82">
                  <c:v>3664.5610000000001</c:v>
                </c:pt>
                <c:pt idx="83">
                  <c:v>3666.2770999999998</c:v>
                </c:pt>
                <c:pt idx="84">
                  <c:v>3664.6907000000001</c:v>
                </c:pt>
                <c:pt idx="85">
                  <c:v>3657.0454</c:v>
                </c:pt>
                <c:pt idx="86">
                  <c:v>3626.0558999999998</c:v>
                </c:pt>
                <c:pt idx="87">
                  <c:v>3640.3591999999999</c:v>
                </c:pt>
                <c:pt idx="88">
                  <c:v>3677.9695999999999</c:v>
                </c:pt>
                <c:pt idx="89">
                  <c:v>3690.9623000000001</c:v>
                </c:pt>
                <c:pt idx="90">
                  <c:v>3676.1610999999998</c:v>
                </c:pt>
                <c:pt idx="91">
                  <c:v>3684.451</c:v>
                </c:pt>
                <c:pt idx="92">
                  <c:v>3641.7917000000002</c:v>
                </c:pt>
                <c:pt idx="93">
                  <c:v>3601.4753999999998</c:v>
                </c:pt>
                <c:pt idx="94">
                  <c:v>3635.7078999999999</c:v>
                </c:pt>
                <c:pt idx="95">
                  <c:v>3609.1723999999999</c:v>
                </c:pt>
                <c:pt idx="96">
                  <c:v>3613.5223000000001</c:v>
                </c:pt>
                <c:pt idx="97">
                  <c:v>3594.3121000000001</c:v>
                </c:pt>
                <c:pt idx="98">
                  <c:v>3579.9247</c:v>
                </c:pt>
                <c:pt idx="99">
                  <c:v>3588.7483000000002</c:v>
                </c:pt>
                <c:pt idx="100">
                  <c:v>3615.6714000000002</c:v>
                </c:pt>
                <c:pt idx="101">
                  <c:v>3594.7936</c:v>
                </c:pt>
                <c:pt idx="102">
                  <c:v>3592.2453999999998</c:v>
                </c:pt>
                <c:pt idx="103">
                  <c:v>3574.1143000000002</c:v>
                </c:pt>
                <c:pt idx="104">
                  <c:v>3542.8771000000002</c:v>
                </c:pt>
                <c:pt idx="105">
                  <c:v>3544.1224999999999</c:v>
                </c:pt>
                <c:pt idx="106">
                  <c:v>3526.1306</c:v>
                </c:pt>
                <c:pt idx="107">
                  <c:v>3541.5331000000001</c:v>
                </c:pt>
                <c:pt idx="108">
                  <c:v>3536.1986000000002</c:v>
                </c:pt>
                <c:pt idx="109">
                  <c:v>3545.5902000000001</c:v>
                </c:pt>
                <c:pt idx="110">
                  <c:v>3528.7489999999998</c:v>
                </c:pt>
                <c:pt idx="111">
                  <c:v>3503.2817</c:v>
                </c:pt>
                <c:pt idx="112">
                  <c:v>3495.6197999999999</c:v>
                </c:pt>
                <c:pt idx="113">
                  <c:v>3476.8101999999999</c:v>
                </c:pt>
                <c:pt idx="114">
                  <c:v>3457.9023000000002</c:v>
                </c:pt>
                <c:pt idx="115">
                  <c:v>3480.2647999999999</c:v>
                </c:pt>
                <c:pt idx="116">
                  <c:v>3454.1174999999998</c:v>
                </c:pt>
                <c:pt idx="117">
                  <c:v>3461.6570000000002</c:v>
                </c:pt>
                <c:pt idx="118">
                  <c:v>3478.1826999999998</c:v>
                </c:pt>
                <c:pt idx="119">
                  <c:v>3471.7856999999999</c:v>
                </c:pt>
                <c:pt idx="120">
                  <c:v>3463.4141</c:v>
                </c:pt>
                <c:pt idx="121">
                  <c:v>3445.8128000000002</c:v>
                </c:pt>
                <c:pt idx="122">
                  <c:v>3431.0605</c:v>
                </c:pt>
                <c:pt idx="123">
                  <c:v>3401.7604000000001</c:v>
                </c:pt>
                <c:pt idx="124">
                  <c:v>3439.8110999999999</c:v>
                </c:pt>
                <c:pt idx="125">
                  <c:v>3428.9657000000002</c:v>
                </c:pt>
                <c:pt idx="126">
                  <c:v>3468.1689999999999</c:v>
                </c:pt>
                <c:pt idx="127">
                  <c:v>3472.4014000000002</c:v>
                </c:pt>
                <c:pt idx="128">
                  <c:v>3476.2467000000001</c:v>
                </c:pt>
                <c:pt idx="129">
                  <c:v>3498.2827000000002</c:v>
                </c:pt>
                <c:pt idx="130">
                  <c:v>3501.5835999999999</c:v>
                </c:pt>
                <c:pt idx="131">
                  <c:v>3520.931</c:v>
                </c:pt>
                <c:pt idx="132">
                  <c:v>3539.0156000000002</c:v>
                </c:pt>
                <c:pt idx="133">
                  <c:v>3514.9249</c:v>
                </c:pt>
                <c:pt idx="134">
                  <c:v>3439.8779</c:v>
                </c:pt>
                <c:pt idx="135">
                  <c:v>3418.1662999999999</c:v>
                </c:pt>
                <c:pt idx="136">
                  <c:v>3399.2716</c:v>
                </c:pt>
                <c:pt idx="137">
                  <c:v>3409.2930999999999</c:v>
                </c:pt>
                <c:pt idx="138">
                  <c:v>3390.7420000000002</c:v>
                </c:pt>
                <c:pt idx="139">
                  <c:v>3369.3820999999998</c:v>
                </c:pt>
                <c:pt idx="140">
                  <c:v>3442.0844000000002</c:v>
                </c:pt>
                <c:pt idx="141">
                  <c:v>3419.2665999999999</c:v>
                </c:pt>
                <c:pt idx="142">
                  <c:v>3384.3919000000001</c:v>
                </c:pt>
                <c:pt idx="143">
                  <c:v>3343.3204999999998</c:v>
                </c:pt>
                <c:pt idx="144">
                  <c:v>3342.9789000000001</c:v>
                </c:pt>
                <c:pt idx="145">
                  <c:v>3341.489</c:v>
                </c:pt>
                <c:pt idx="146">
                  <c:v>3342.9369000000002</c:v>
                </c:pt>
                <c:pt idx="147">
                  <c:v>3331.6273999999999</c:v>
                </c:pt>
                <c:pt idx="148">
                  <c:v>3325.8645000000001</c:v>
                </c:pt>
                <c:pt idx="149">
                  <c:v>3334.3903</c:v>
                </c:pt>
                <c:pt idx="150">
                  <c:v>3309.2388999999998</c:v>
                </c:pt>
                <c:pt idx="151">
                  <c:v>3341.953</c:v>
                </c:pt>
                <c:pt idx="152">
                  <c:v>3345.634</c:v>
                </c:pt>
                <c:pt idx="153">
                  <c:v>3356.9677000000001</c:v>
                </c:pt>
                <c:pt idx="154">
                  <c:v>3332.7033999999999</c:v>
                </c:pt>
                <c:pt idx="155">
                  <c:v>3321.6350000000002</c:v>
                </c:pt>
                <c:pt idx="156">
                  <c:v>3313.1356999999998</c:v>
                </c:pt>
                <c:pt idx="157">
                  <c:v>3327.1905000000002</c:v>
                </c:pt>
                <c:pt idx="158">
                  <c:v>3324.2231000000002</c:v>
                </c:pt>
                <c:pt idx="159">
                  <c:v>3305.3337999999999</c:v>
                </c:pt>
                <c:pt idx="160">
                  <c:v>3286.4956000000002</c:v>
                </c:pt>
                <c:pt idx="161">
                  <c:v>3277.6812</c:v>
                </c:pt>
                <c:pt idx="162">
                  <c:v>3321.4322999999999</c:v>
                </c:pt>
                <c:pt idx="163">
                  <c:v>3265.011</c:v>
                </c:pt>
                <c:pt idx="164">
                  <c:v>3273.4281999999998</c:v>
                </c:pt>
                <c:pt idx="165">
                  <c:v>3252.1649000000002</c:v>
                </c:pt>
                <c:pt idx="166">
                  <c:v>3257.7577999999999</c:v>
                </c:pt>
                <c:pt idx="167">
                  <c:v>3231.3456999999999</c:v>
                </c:pt>
                <c:pt idx="168">
                  <c:v>3192.9515999999999</c:v>
                </c:pt>
                <c:pt idx="169">
                  <c:v>3195.7552000000001</c:v>
                </c:pt>
                <c:pt idx="170">
                  <c:v>3186.1298999999999</c:v>
                </c:pt>
                <c:pt idx="171">
                  <c:v>3172.4747000000002</c:v>
                </c:pt>
                <c:pt idx="172">
                  <c:v>3159.2469999999998</c:v>
                </c:pt>
                <c:pt idx="173">
                  <c:v>3171.0102000000002</c:v>
                </c:pt>
                <c:pt idx="174">
                  <c:v>3196.0356999999999</c:v>
                </c:pt>
                <c:pt idx="175">
                  <c:v>3201.0497</c:v>
                </c:pt>
                <c:pt idx="176">
                  <c:v>3212.7638999999999</c:v>
                </c:pt>
                <c:pt idx="177">
                  <c:v>3351.9090000000001</c:v>
                </c:pt>
                <c:pt idx="178">
                  <c:v>3401.5329999999999</c:v>
                </c:pt>
                <c:pt idx="179">
                  <c:v>3545.3204000000001</c:v>
                </c:pt>
                <c:pt idx="180">
                  <c:v>3703.6849000000002</c:v>
                </c:pt>
                <c:pt idx="181">
                  <c:v>4017.8544999999999</c:v>
                </c:pt>
                <c:pt idx="182">
                  <c:v>4256.0962</c:v>
                </c:pt>
                <c:pt idx="183">
                  <c:v>3955.9839000000002</c:v>
                </c:pt>
                <c:pt idx="184">
                  <c:v>3997.7878999999998</c:v>
                </c:pt>
                <c:pt idx="185">
                  <c:v>3887.1669999999999</c:v>
                </c:pt>
                <c:pt idx="186">
                  <c:v>3961.3424</c:v>
                </c:pt>
                <c:pt idx="187">
                  <c:v>3855.9949000000001</c:v>
                </c:pt>
                <c:pt idx="188">
                  <c:v>3831.5889999999999</c:v>
                </c:pt>
                <c:pt idx="189">
                  <c:v>3788.2217000000001</c:v>
                </c:pt>
                <c:pt idx="190">
                  <c:v>3925.2339999999999</c:v>
                </c:pt>
                <c:pt idx="191">
                  <c:v>3935.1974</c:v>
                </c:pt>
                <c:pt idx="192">
                  <c:v>3957.7755000000002</c:v>
                </c:pt>
                <c:pt idx="193">
                  <c:v>3973.2089000000001</c:v>
                </c:pt>
                <c:pt idx="194">
                  <c:v>3928.8334</c:v>
                </c:pt>
                <c:pt idx="195">
                  <c:v>3956.4209999999998</c:v>
                </c:pt>
                <c:pt idx="196">
                  <c:v>3964.1569</c:v>
                </c:pt>
                <c:pt idx="197">
                  <c:v>3924.6489999999999</c:v>
                </c:pt>
                <c:pt idx="198">
                  <c:v>3889.4486999999999</c:v>
                </c:pt>
                <c:pt idx="199">
                  <c:v>3891.0396000000001</c:v>
                </c:pt>
                <c:pt idx="200">
                  <c:v>3890.0203000000001</c:v>
                </c:pt>
                <c:pt idx="201">
                  <c:v>3944.7619</c:v>
                </c:pt>
                <c:pt idx="202">
                  <c:v>4044.5725000000002</c:v>
                </c:pt>
                <c:pt idx="203">
                  <c:v>4024.2831000000001</c:v>
                </c:pt>
                <c:pt idx="204">
                  <c:v>4145.6952000000001</c:v>
                </c:pt>
                <c:pt idx="205">
                  <c:v>4104.0469999999996</c:v>
                </c:pt>
                <c:pt idx="206">
                  <c:v>4131.1311999999998</c:v>
                </c:pt>
                <c:pt idx="207">
                  <c:v>4085.7429999999999</c:v>
                </c:pt>
                <c:pt idx="208">
                  <c:v>4110.8900999999996</c:v>
                </c:pt>
                <c:pt idx="209">
                  <c:v>4039.6190999999999</c:v>
                </c:pt>
                <c:pt idx="210">
                  <c:v>3968.8308000000002</c:v>
                </c:pt>
                <c:pt idx="211">
                  <c:v>3950.3806</c:v>
                </c:pt>
                <c:pt idx="212">
                  <c:v>3976.8912</c:v>
                </c:pt>
                <c:pt idx="213">
                  <c:v>3985.7727</c:v>
                </c:pt>
                <c:pt idx="214">
                  <c:v>3989.2979</c:v>
                </c:pt>
                <c:pt idx="215">
                  <c:v>3865.6988999999999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7-4959-8544-F1B99619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02847"/>
        <c:axId val="845199967"/>
      </c:areaChart>
      <c:lineChart>
        <c:grouping val="standard"/>
        <c:varyColors val="0"/>
        <c:ser>
          <c:idx val="0"/>
          <c:order val="0"/>
          <c:tx>
            <c:strRef>
              <c:f>净值序列!$B$1</c:f>
              <c:strCache>
                <c:ptCount val="1"/>
                <c:pt idx="0">
                  <c:v>组合收益率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净值序列!$A$2:$A$217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净值序列!$B$2:$B$217</c:f>
              <c:numCache>
                <c:formatCode>0.00%</c:formatCode>
                <c:ptCount val="216"/>
                <c:pt idx="0" formatCode="0.0000">
                  <c:v>0</c:v>
                </c:pt>
                <c:pt idx="1">
                  <c:v>4.5298973223273364E-3</c:v>
                </c:pt>
                <c:pt idx="2">
                  <c:v>6.2411918663178856E-3</c:v>
                </c:pt>
                <c:pt idx="3">
                  <c:v>7.3485001006643458E-3</c:v>
                </c:pt>
                <c:pt idx="4">
                  <c:v>7.6504932554861682E-3</c:v>
                </c:pt>
                <c:pt idx="5">
                  <c:v>7.0465069458425234E-3</c:v>
                </c:pt>
                <c:pt idx="6">
                  <c:v>6.3418562512584931E-3</c:v>
                </c:pt>
                <c:pt idx="7">
                  <c:v>5.9391987114958411E-3</c:v>
                </c:pt>
                <c:pt idx="8">
                  <c:v>5.3352124018524183E-3</c:v>
                </c:pt>
                <c:pt idx="9">
                  <c:v>7.0465069458425234E-3</c:v>
                </c:pt>
                <c:pt idx="10">
                  <c:v>7.3485001006643458E-3</c:v>
                </c:pt>
                <c:pt idx="11">
                  <c:v>8.5564727199516355E-3</c:v>
                </c:pt>
                <c:pt idx="12">
                  <c:v>6.9458425609019159E-3</c:v>
                </c:pt>
                <c:pt idx="13">
                  <c:v>7.0465069458425234E-3</c:v>
                </c:pt>
                <c:pt idx="14">
                  <c:v>6.3418562512584931E-3</c:v>
                </c:pt>
                <c:pt idx="15">
                  <c:v>4.429232937386729E-3</c:v>
                </c:pt>
                <c:pt idx="16">
                  <c:v>4.8318904771491589E-3</c:v>
                </c:pt>
                <c:pt idx="17">
                  <c:v>7.8518220253676052E-3</c:v>
                </c:pt>
                <c:pt idx="18">
                  <c:v>1.157640426816986E-2</c:v>
                </c:pt>
                <c:pt idx="19">
                  <c:v>1.3891685121804054E-2</c:v>
                </c:pt>
                <c:pt idx="20">
                  <c:v>1.4797664586269521E-2</c:v>
                </c:pt>
                <c:pt idx="21">
                  <c:v>1.3690356351922617E-2</c:v>
                </c:pt>
                <c:pt idx="22">
                  <c:v>1.4093013891685269E-2</c:v>
                </c:pt>
                <c:pt idx="23">
                  <c:v>1.2885041272397757E-2</c:v>
                </c:pt>
                <c:pt idx="24">
                  <c:v>1.3187034427219579E-2</c:v>
                </c:pt>
                <c:pt idx="25">
                  <c:v>1.3992349506744661E-2</c:v>
                </c:pt>
                <c:pt idx="26">
                  <c:v>1.5602979665794159E-2</c:v>
                </c:pt>
                <c:pt idx="27">
                  <c:v>1.5602979665794159E-2</c:v>
                </c:pt>
                <c:pt idx="28">
                  <c:v>1.6005637205556811E-2</c:v>
                </c:pt>
                <c:pt idx="29">
                  <c:v>1.8522246829071998E-2</c:v>
                </c:pt>
                <c:pt idx="30">
                  <c:v>1.9931548218240502E-2</c:v>
                </c:pt>
                <c:pt idx="31">
                  <c:v>2.1038856452587185E-2</c:v>
                </c:pt>
                <c:pt idx="32">
                  <c:v>2.2146164686933867E-2</c:v>
                </c:pt>
                <c:pt idx="33">
                  <c:v>2.2750150996577512E-2</c:v>
                </c:pt>
                <c:pt idx="34">
                  <c:v>2.12401852224684E-2</c:v>
                </c:pt>
                <c:pt idx="35">
                  <c:v>2.1642842762230607E-2</c:v>
                </c:pt>
                <c:pt idx="36">
                  <c:v>2.12401852224684E-2</c:v>
                </c:pt>
                <c:pt idx="37">
                  <c:v>2.1743507147171215E-2</c:v>
                </c:pt>
                <c:pt idx="38">
                  <c:v>2.2146164686933867E-2</c:v>
                </c:pt>
                <c:pt idx="39">
                  <c:v>2.3454801691161764E-2</c:v>
                </c:pt>
                <c:pt idx="40">
                  <c:v>2.4260116770686624E-2</c:v>
                </c:pt>
                <c:pt idx="41">
                  <c:v>2.4864103080330269E-2</c:v>
                </c:pt>
                <c:pt idx="42">
                  <c:v>2.5971411314676951E-2</c:v>
                </c:pt>
                <c:pt idx="43">
                  <c:v>2.6776726394201811E-2</c:v>
                </c:pt>
                <c:pt idx="44">
                  <c:v>2.6273404469498773E-2</c:v>
                </c:pt>
                <c:pt idx="45">
                  <c:v>2.4159452385746016E-2</c:v>
                </c:pt>
                <c:pt idx="46">
                  <c:v>2.4260116770686624E-2</c:v>
                </c:pt>
                <c:pt idx="47">
                  <c:v>2.5065431850211484E-2</c:v>
                </c:pt>
                <c:pt idx="48">
                  <c:v>2.5971411314676951E-2</c:v>
                </c:pt>
                <c:pt idx="49">
                  <c:v>2.6072075699617558E-2</c:v>
                </c:pt>
                <c:pt idx="50">
                  <c:v>2.5770082544795514E-2</c:v>
                </c:pt>
                <c:pt idx="51">
                  <c:v>2.6374068854439381E-2</c:v>
                </c:pt>
                <c:pt idx="52">
                  <c:v>2.6776726394201811E-2</c:v>
                </c:pt>
                <c:pt idx="53">
                  <c:v>2.6172740084558166E-2</c:v>
                </c:pt>
                <c:pt idx="54">
                  <c:v>2.6978055164083026E-2</c:v>
                </c:pt>
                <c:pt idx="55">
                  <c:v>2.6877390779142418E-2</c:v>
                </c:pt>
                <c:pt idx="56">
                  <c:v>2.6877390779142418E-2</c:v>
                </c:pt>
                <c:pt idx="57">
                  <c:v>2.7179383933964241E-2</c:v>
                </c:pt>
                <c:pt idx="58">
                  <c:v>2.838735655325153E-2</c:v>
                </c:pt>
                <c:pt idx="59">
                  <c:v>2.8488020938192138E-2</c:v>
                </c:pt>
                <c:pt idx="60">
                  <c:v>2.8991342862895175E-2</c:v>
                </c:pt>
                <c:pt idx="61">
                  <c:v>2.9897322327360421E-2</c:v>
                </c:pt>
                <c:pt idx="62">
                  <c:v>3.0903966176766717E-2</c:v>
                </c:pt>
                <c:pt idx="63">
                  <c:v>3.0501308637004287E-2</c:v>
                </c:pt>
                <c:pt idx="64">
                  <c:v>3.1709281256291577E-2</c:v>
                </c:pt>
                <c:pt idx="65">
                  <c:v>3.20112744111134E-2</c:v>
                </c:pt>
                <c:pt idx="66">
                  <c:v>3.2313267565935222E-2</c:v>
                </c:pt>
                <c:pt idx="67">
                  <c:v>3.3923897724984942E-2</c:v>
                </c:pt>
                <c:pt idx="68">
                  <c:v>3.3219247030400689E-2</c:v>
                </c:pt>
                <c:pt idx="69">
                  <c:v>3.5131870344272231E-2</c:v>
                </c:pt>
                <c:pt idx="70">
                  <c:v>3.6943829273203166E-2</c:v>
                </c:pt>
                <c:pt idx="71">
                  <c:v>3.6742500503321951E-2</c:v>
                </c:pt>
                <c:pt idx="72">
                  <c:v>3.5635192268975269E-2</c:v>
                </c:pt>
                <c:pt idx="73">
                  <c:v>3.4628548419569194E-2</c:v>
                </c:pt>
                <c:pt idx="74">
                  <c:v>3.4930541574391016E-2</c:v>
                </c:pt>
                <c:pt idx="75">
                  <c:v>3.5232534729212839E-2</c:v>
                </c:pt>
                <c:pt idx="76">
                  <c:v>3.5333199114153446E-2</c:v>
                </c:pt>
                <c:pt idx="77">
                  <c:v>3.4326555264747372E-2</c:v>
                </c:pt>
                <c:pt idx="78">
                  <c:v>3.5433863499094054E-2</c:v>
                </c:pt>
                <c:pt idx="79">
                  <c:v>3.6138514193678528E-2</c:v>
                </c:pt>
                <c:pt idx="80">
                  <c:v>3.6541171733440736E-2</c:v>
                </c:pt>
                <c:pt idx="81">
                  <c:v>3.7145158043084381E-2</c:v>
                </c:pt>
                <c:pt idx="82">
                  <c:v>3.8353130662371893E-2</c:v>
                </c:pt>
                <c:pt idx="83">
                  <c:v>3.9359774511777745E-2</c:v>
                </c:pt>
                <c:pt idx="84">
                  <c:v>3.9661767666599568E-2</c:v>
                </c:pt>
                <c:pt idx="85">
                  <c:v>3.996376082142139E-2</c:v>
                </c:pt>
                <c:pt idx="86">
                  <c:v>3.8554459432252886E-2</c:v>
                </c:pt>
                <c:pt idx="87">
                  <c:v>3.8252466277431285E-2</c:v>
                </c:pt>
                <c:pt idx="88">
                  <c:v>3.9762432051540175E-2</c:v>
                </c:pt>
                <c:pt idx="89">
                  <c:v>4.3789007449164474E-2</c:v>
                </c:pt>
                <c:pt idx="90">
                  <c:v>4.3487014294342652E-2</c:v>
                </c:pt>
                <c:pt idx="91">
                  <c:v>4.2681699214818014E-2</c:v>
                </c:pt>
                <c:pt idx="92">
                  <c:v>4.0668411516005643E-2</c:v>
                </c:pt>
                <c:pt idx="93">
                  <c:v>4.1272397825649287E-2</c:v>
                </c:pt>
                <c:pt idx="94">
                  <c:v>4.4996980068451764E-2</c:v>
                </c:pt>
                <c:pt idx="95">
                  <c:v>4.5500301993154801E-2</c:v>
                </c:pt>
                <c:pt idx="96">
                  <c:v>4.7110932152204521E-2</c:v>
                </c:pt>
                <c:pt idx="97">
                  <c:v>4.3990336219045689E-2</c:v>
                </c:pt>
                <c:pt idx="98">
                  <c:v>4.3789007449164474E-2</c:v>
                </c:pt>
                <c:pt idx="99">
                  <c:v>4.2581034829877407E-2</c:v>
                </c:pt>
                <c:pt idx="100">
                  <c:v>4.3285685524461437E-2</c:v>
                </c:pt>
                <c:pt idx="101">
                  <c:v>4.1272397825649287E-2</c:v>
                </c:pt>
                <c:pt idx="102">
                  <c:v>4.3789007449164474E-2</c:v>
                </c:pt>
                <c:pt idx="103">
                  <c:v>4.5600966378095409E-2</c:v>
                </c:pt>
                <c:pt idx="104">
                  <c:v>4.197704852023354E-2</c:v>
                </c:pt>
                <c:pt idx="105">
                  <c:v>4.5198308838332979E-2</c:v>
                </c:pt>
                <c:pt idx="106">
                  <c:v>4.2983692369639614E-2</c:v>
                </c:pt>
                <c:pt idx="107">
                  <c:v>4.157439098047111E-2</c:v>
                </c:pt>
                <c:pt idx="108">
                  <c:v>3.9259110126837138E-2</c:v>
                </c:pt>
                <c:pt idx="109">
                  <c:v>3.996376082142139E-2</c:v>
                </c:pt>
                <c:pt idx="110">
                  <c:v>4.0668411516005643E-2</c:v>
                </c:pt>
                <c:pt idx="111">
                  <c:v>4.1473726595530502E-2</c:v>
                </c:pt>
                <c:pt idx="112">
                  <c:v>4.0668411516005643E-2</c:v>
                </c:pt>
                <c:pt idx="113">
                  <c:v>3.9460438896718353E-2</c:v>
                </c:pt>
                <c:pt idx="114">
                  <c:v>3.956110328165896E-2</c:v>
                </c:pt>
                <c:pt idx="115">
                  <c:v>3.9259110126837138E-2</c:v>
                </c:pt>
                <c:pt idx="116">
                  <c:v>3.8353130662371893E-2</c:v>
                </c:pt>
                <c:pt idx="117">
                  <c:v>4.1775719750352325E-2</c:v>
                </c:pt>
                <c:pt idx="118">
                  <c:v>4.7412925307026343E-2</c:v>
                </c:pt>
                <c:pt idx="119">
                  <c:v>4.7513589691966951E-2</c:v>
                </c:pt>
                <c:pt idx="120">
                  <c:v>4.6003623917857839E-2</c:v>
                </c:pt>
                <c:pt idx="121">
                  <c:v>4.5500301993154801E-2</c:v>
                </c:pt>
                <c:pt idx="122">
                  <c:v>4.5802295147976624E-2</c:v>
                </c:pt>
                <c:pt idx="123">
                  <c:v>4.6506945842561098E-2</c:v>
                </c:pt>
                <c:pt idx="124">
                  <c:v>4.8721562311254463E-2</c:v>
                </c:pt>
                <c:pt idx="125">
                  <c:v>4.4091000603986297E-2</c:v>
                </c:pt>
                <c:pt idx="126">
                  <c:v>4.6003623917857839E-2</c:v>
                </c:pt>
                <c:pt idx="127">
                  <c:v>4.4191664988927126E-2</c:v>
                </c:pt>
                <c:pt idx="128">
                  <c:v>4.6506945842561098E-2</c:v>
                </c:pt>
                <c:pt idx="129">
                  <c:v>4.6204952687739054E-2</c:v>
                </c:pt>
                <c:pt idx="130">
                  <c:v>4.2077712905174147E-2</c:v>
                </c:pt>
                <c:pt idx="131">
                  <c:v>4.3386349909402044E-2</c:v>
                </c:pt>
                <c:pt idx="132">
                  <c:v>3.8453795047312278E-2</c:v>
                </c:pt>
                <c:pt idx="133">
                  <c:v>3.6239178578619136E-2</c:v>
                </c:pt>
                <c:pt idx="134">
                  <c:v>3.2917253875578867E-2</c:v>
                </c:pt>
                <c:pt idx="135">
                  <c:v>3.3521240185222512E-2</c:v>
                </c:pt>
                <c:pt idx="136">
                  <c:v>2.959532917253882E-2</c:v>
                </c:pt>
                <c:pt idx="137">
                  <c:v>2.9695993557479428E-2</c:v>
                </c:pt>
                <c:pt idx="138">
                  <c:v>3.2111938796054007E-2</c:v>
                </c:pt>
                <c:pt idx="139">
                  <c:v>2.9695993557479428E-2</c:v>
                </c:pt>
                <c:pt idx="140">
                  <c:v>3.1507952486410362E-2</c:v>
                </c:pt>
                <c:pt idx="141">
                  <c:v>3.2816589490638259E-2</c:v>
                </c:pt>
                <c:pt idx="142">
                  <c:v>3.120595933158854E-2</c:v>
                </c:pt>
                <c:pt idx="143">
                  <c:v>2.838735655325153E-2</c:v>
                </c:pt>
                <c:pt idx="144">
                  <c:v>2.6776726394201811E-2</c:v>
                </c:pt>
                <c:pt idx="145">
                  <c:v>2.8186027783370315E-2</c:v>
                </c:pt>
                <c:pt idx="146">
                  <c:v>2.7380712703845456E-2</c:v>
                </c:pt>
                <c:pt idx="147">
                  <c:v>2.7582041473726671E-2</c:v>
                </c:pt>
                <c:pt idx="148">
                  <c:v>2.7783370243607663E-2</c:v>
                </c:pt>
                <c:pt idx="149">
                  <c:v>2.7481377088786063E-2</c:v>
                </c:pt>
                <c:pt idx="150">
                  <c:v>2.7280048318904848E-2</c:v>
                </c:pt>
                <c:pt idx="151">
                  <c:v>2.8689349708073353E-2</c:v>
                </c:pt>
                <c:pt idx="152">
                  <c:v>2.8286692168310923E-2</c:v>
                </c:pt>
                <c:pt idx="153">
                  <c:v>2.959532917253882E-2</c:v>
                </c:pt>
                <c:pt idx="154">
                  <c:v>2.8286692168310923E-2</c:v>
                </c:pt>
                <c:pt idx="155">
                  <c:v>2.6776726394201811E-2</c:v>
                </c:pt>
                <c:pt idx="156">
                  <c:v>2.7280048318904848E-2</c:v>
                </c:pt>
                <c:pt idx="157">
                  <c:v>2.6273404469498773E-2</c:v>
                </c:pt>
                <c:pt idx="158">
                  <c:v>2.6474733239379988E-2</c:v>
                </c:pt>
                <c:pt idx="159">
                  <c:v>2.7179383933964241E-2</c:v>
                </c:pt>
                <c:pt idx="160">
                  <c:v>2.6474733239379988E-2</c:v>
                </c:pt>
                <c:pt idx="161">
                  <c:v>2.4562109925508446E-2</c:v>
                </c:pt>
                <c:pt idx="162">
                  <c:v>2.4159452385746016E-2</c:v>
                </c:pt>
                <c:pt idx="163">
                  <c:v>2.4964767465270876E-2</c:v>
                </c:pt>
                <c:pt idx="164">
                  <c:v>2.2548822226696297E-2</c:v>
                </c:pt>
                <c:pt idx="165">
                  <c:v>2.0636198912824755E-2</c:v>
                </c:pt>
                <c:pt idx="166">
                  <c:v>1.9428226293537243E-2</c:v>
                </c:pt>
                <c:pt idx="167">
                  <c:v>1.8723575598953213E-2</c:v>
                </c:pt>
                <c:pt idx="168">
                  <c:v>1.6408294745319241E-2</c:v>
                </c:pt>
                <c:pt idx="169">
                  <c:v>1.6106301590497418E-2</c:v>
                </c:pt>
                <c:pt idx="170">
                  <c:v>1.2482383732635549E-2</c:v>
                </c:pt>
                <c:pt idx="171">
                  <c:v>1.3086370042278972E-2</c:v>
                </c:pt>
                <c:pt idx="172">
                  <c:v>1.3589691966982009E-2</c:v>
                </c:pt>
                <c:pt idx="173">
                  <c:v>1.5200322126031729E-2</c:v>
                </c:pt>
                <c:pt idx="174">
                  <c:v>1.6810952285081671E-2</c:v>
                </c:pt>
                <c:pt idx="175">
                  <c:v>1.8220253674250175E-2</c:v>
                </c:pt>
                <c:pt idx="176">
                  <c:v>1.9730219448359065E-2</c:v>
                </c:pt>
                <c:pt idx="177">
                  <c:v>2.5568753774914521E-2</c:v>
                </c:pt>
                <c:pt idx="178">
                  <c:v>2.7280048318904848E-2</c:v>
                </c:pt>
                <c:pt idx="179">
                  <c:v>3.1910610026172792E-2</c:v>
                </c:pt>
                <c:pt idx="180">
                  <c:v>3.4628548419569194E-2</c:v>
                </c:pt>
                <c:pt idx="181">
                  <c:v>4.5097644453392371E-2</c:v>
                </c:pt>
                <c:pt idx="182">
                  <c:v>4.5802295147976624E-2</c:v>
                </c:pt>
                <c:pt idx="183">
                  <c:v>3.5232534729212839E-2</c:v>
                </c:pt>
                <c:pt idx="184">
                  <c:v>3.8353130662371893E-2</c:v>
                </c:pt>
                <c:pt idx="185">
                  <c:v>3.8151801892490678E-2</c:v>
                </c:pt>
                <c:pt idx="186">
                  <c:v>4.2077712905174147E-2</c:v>
                </c:pt>
                <c:pt idx="187">
                  <c:v>3.7447151197906203E-2</c:v>
                </c:pt>
                <c:pt idx="188">
                  <c:v>4.0064425206361998E-2</c:v>
                </c:pt>
                <c:pt idx="189">
                  <c:v>3.8051137507549848E-2</c:v>
                </c:pt>
                <c:pt idx="190">
                  <c:v>4.0668411516005643E-2</c:v>
                </c:pt>
                <c:pt idx="191">
                  <c:v>4.157439098047111E-2</c:v>
                </c:pt>
                <c:pt idx="192">
                  <c:v>4.2983692369639614E-2</c:v>
                </c:pt>
                <c:pt idx="193">
                  <c:v>4.3185021139520829E-2</c:v>
                </c:pt>
                <c:pt idx="194">
                  <c:v>4.2178377290114977E-2</c:v>
                </c:pt>
                <c:pt idx="195">
                  <c:v>3.996376082142139E-2</c:v>
                </c:pt>
                <c:pt idx="196">
                  <c:v>4.0567747131065035E-2</c:v>
                </c:pt>
                <c:pt idx="197">
                  <c:v>4.0064425206361998E-2</c:v>
                </c:pt>
                <c:pt idx="198">
                  <c:v>3.7950473122609241E-2</c:v>
                </c:pt>
                <c:pt idx="199">
                  <c:v>3.6843164888262558E-2</c:v>
                </c:pt>
                <c:pt idx="200">
                  <c:v>3.9863096436480783E-2</c:v>
                </c:pt>
                <c:pt idx="201">
                  <c:v>4.1272397825649287E-2</c:v>
                </c:pt>
                <c:pt idx="202">
                  <c:v>4.3688343064223867E-2</c:v>
                </c:pt>
                <c:pt idx="203">
                  <c:v>4.27823635997584E-2</c:v>
                </c:pt>
                <c:pt idx="204">
                  <c:v>4.6104288302798446E-2</c:v>
                </c:pt>
                <c:pt idx="205">
                  <c:v>4.4493658143748949E-2</c:v>
                </c:pt>
                <c:pt idx="206">
                  <c:v>4.1876384135292932E-2</c:v>
                </c:pt>
                <c:pt idx="207">
                  <c:v>3.915844574189653E-2</c:v>
                </c:pt>
                <c:pt idx="208">
                  <c:v>4.0265753976243435E-2</c:v>
                </c:pt>
                <c:pt idx="209">
                  <c:v>3.7849808737668633E-2</c:v>
                </c:pt>
                <c:pt idx="210">
                  <c:v>3.7447151197906203E-2</c:v>
                </c:pt>
                <c:pt idx="211">
                  <c:v>3.7346486812965596E-2</c:v>
                </c:pt>
                <c:pt idx="212">
                  <c:v>3.8252466277431285E-2</c:v>
                </c:pt>
                <c:pt idx="213">
                  <c:v>3.9661767666599568E-2</c:v>
                </c:pt>
                <c:pt idx="214">
                  <c:v>4.046708274612465E-2</c:v>
                </c:pt>
                <c:pt idx="215">
                  <c:v>3.5433863499094054E-2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7-4959-8544-F1B99619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201407"/>
        <c:axId val="845203807"/>
      </c:lineChart>
      <c:dateAx>
        <c:axId val="845201407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45203807"/>
        <c:crosses val="autoZero"/>
        <c:auto val="1"/>
        <c:lblOffset val="100"/>
        <c:baseTimeUnit val="days"/>
      </c:dateAx>
      <c:valAx>
        <c:axId val="84520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45201407"/>
        <c:crosses val="autoZero"/>
        <c:crossBetween val="between"/>
      </c:valAx>
      <c:valAx>
        <c:axId val="845199967"/>
        <c:scaling>
          <c:orientation val="minMax"/>
          <c:min val="25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845202847"/>
        <c:crosses val="max"/>
        <c:crossBetween val="between"/>
      </c:valAx>
      <c:dateAx>
        <c:axId val="845202847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crossAx val="84519996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21447550488547"/>
          <c:y val="0.92011201537360354"/>
          <c:w val="0.46957087574458811"/>
          <c:h val="7.988798462639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权益仓位</a:t>
            </a:r>
            <a:r>
              <a:rPr lang="zh-CN" altLang="en-US" b="1"/>
              <a:t>（穿透）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仓位序列!$C$1</c:f>
              <c:strCache>
                <c:ptCount val="1"/>
                <c:pt idx="0">
                  <c:v>沪深300指数(收盘价)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仓位序列!$C$2:$C$217</c:f>
              <c:numCache>
                <c:formatCode>#,##0.00</c:formatCode>
                <c:ptCount val="216"/>
                <c:pt idx="0">
                  <c:v>3431.1098999999999</c:v>
                </c:pt>
                <c:pt idx="1">
                  <c:v>3386.3521999999998</c:v>
                </c:pt>
                <c:pt idx="2">
                  <c:v>3378.2970999999998</c:v>
                </c:pt>
                <c:pt idx="3">
                  <c:v>3347.0518999999999</c:v>
                </c:pt>
                <c:pt idx="4">
                  <c:v>3329.1113999999998</c:v>
                </c:pt>
                <c:pt idx="5">
                  <c:v>3286.0563999999999</c:v>
                </c:pt>
                <c:pt idx="6">
                  <c:v>3292.4994000000002</c:v>
                </c:pt>
                <c:pt idx="7">
                  <c:v>3277.1289999999999</c:v>
                </c:pt>
                <c:pt idx="8">
                  <c:v>3295.6716999999999</c:v>
                </c:pt>
                <c:pt idx="9">
                  <c:v>3284.1667000000002</c:v>
                </c:pt>
                <c:pt idx="10">
                  <c:v>3280.9195</c:v>
                </c:pt>
                <c:pt idx="11">
                  <c:v>3300.8762000000002</c:v>
                </c:pt>
                <c:pt idx="12">
                  <c:v>3229.0819999999999</c:v>
                </c:pt>
                <c:pt idx="13">
                  <c:v>3274.7285999999999</c:v>
                </c:pt>
                <c:pt idx="14">
                  <c:v>3269.7763</c:v>
                </c:pt>
                <c:pt idx="15">
                  <c:v>3218.9016000000001</c:v>
                </c:pt>
                <c:pt idx="16">
                  <c:v>3231.9328999999998</c:v>
                </c:pt>
                <c:pt idx="17">
                  <c:v>3277.1089000000002</c:v>
                </c:pt>
                <c:pt idx="18">
                  <c:v>3342.9189000000001</c:v>
                </c:pt>
                <c:pt idx="19">
                  <c:v>3333.8213000000001</c:v>
                </c:pt>
                <c:pt idx="20">
                  <c:v>3303.9603999999999</c:v>
                </c:pt>
                <c:pt idx="21">
                  <c:v>3245.0387000000001</c:v>
                </c:pt>
                <c:pt idx="22">
                  <c:v>3215.3517999999999</c:v>
                </c:pt>
                <c:pt idx="23">
                  <c:v>3217.7109</c:v>
                </c:pt>
                <c:pt idx="24">
                  <c:v>3179.6275999999998</c:v>
                </c:pt>
                <c:pt idx="25">
                  <c:v>3200.4218000000001</c:v>
                </c:pt>
                <c:pt idx="26">
                  <c:v>3311.6922</c:v>
                </c:pt>
                <c:pt idx="27">
                  <c:v>3343.6302999999998</c:v>
                </c:pt>
                <c:pt idx="28">
                  <c:v>3364.9297000000001</c:v>
                </c:pt>
                <c:pt idx="29">
                  <c:v>3403.8078</c:v>
                </c:pt>
                <c:pt idx="30">
                  <c:v>3410.8542000000002</c:v>
                </c:pt>
                <c:pt idx="31">
                  <c:v>3456.8712999999998</c:v>
                </c:pt>
                <c:pt idx="32">
                  <c:v>3486.6747</c:v>
                </c:pt>
                <c:pt idx="33">
                  <c:v>3489.7415999999998</c:v>
                </c:pt>
                <c:pt idx="34">
                  <c:v>3453.3584999999998</c:v>
                </c:pt>
                <c:pt idx="35">
                  <c:v>3494.7874000000002</c:v>
                </c:pt>
                <c:pt idx="36">
                  <c:v>3450.2597999999998</c:v>
                </c:pt>
                <c:pt idx="37">
                  <c:v>3516.0826000000002</c:v>
                </c:pt>
                <c:pt idx="38">
                  <c:v>3537.8038000000001</c:v>
                </c:pt>
                <c:pt idx="39">
                  <c:v>3540.8685999999998</c:v>
                </c:pt>
                <c:pt idx="40">
                  <c:v>3565.5142999999998</c:v>
                </c:pt>
                <c:pt idx="41">
                  <c:v>3551.0481</c:v>
                </c:pt>
                <c:pt idx="42">
                  <c:v>3529.7195000000002</c:v>
                </c:pt>
                <c:pt idx="43">
                  <c:v>3544.9099000000001</c:v>
                </c:pt>
                <c:pt idx="44">
                  <c:v>3589.2635</c:v>
                </c:pt>
                <c:pt idx="45">
                  <c:v>3597.4938999999999</c:v>
                </c:pt>
                <c:pt idx="46">
                  <c:v>3572.3609999999999</c:v>
                </c:pt>
                <c:pt idx="47">
                  <c:v>3562.2229000000002</c:v>
                </c:pt>
                <c:pt idx="48">
                  <c:v>3569.9929999999999</c:v>
                </c:pt>
                <c:pt idx="49">
                  <c:v>3603.5279999999998</c:v>
                </c:pt>
                <c:pt idx="50">
                  <c:v>3577.6302999999998</c:v>
                </c:pt>
                <c:pt idx="51">
                  <c:v>3585.3838000000001</c:v>
                </c:pt>
                <c:pt idx="52">
                  <c:v>3581.0902000000001</c:v>
                </c:pt>
                <c:pt idx="53">
                  <c:v>3545.0023000000001</c:v>
                </c:pt>
                <c:pt idx="54">
                  <c:v>3525.7633999999998</c:v>
                </c:pt>
                <c:pt idx="55">
                  <c:v>3543.7467000000001</c:v>
                </c:pt>
                <c:pt idx="56">
                  <c:v>3502.7865999999999</c:v>
                </c:pt>
                <c:pt idx="57">
                  <c:v>3520.9648000000002</c:v>
                </c:pt>
                <c:pt idx="58">
                  <c:v>3537.4843000000001</c:v>
                </c:pt>
                <c:pt idx="59">
                  <c:v>3595.6466</c:v>
                </c:pt>
                <c:pt idx="60">
                  <c:v>3580.6759000000002</c:v>
                </c:pt>
                <c:pt idx="61">
                  <c:v>3567.8031000000001</c:v>
                </c:pt>
                <c:pt idx="62">
                  <c:v>3536.4077000000002</c:v>
                </c:pt>
                <c:pt idx="63">
                  <c:v>3533.4870999999998</c:v>
                </c:pt>
                <c:pt idx="64">
                  <c:v>3504.7085999999999</c:v>
                </c:pt>
                <c:pt idx="65">
                  <c:v>3504.2447000000002</c:v>
                </c:pt>
                <c:pt idx="66">
                  <c:v>3475.8389000000002</c:v>
                </c:pt>
                <c:pt idx="67">
                  <c:v>3549.0758999999998</c:v>
                </c:pt>
                <c:pt idx="68">
                  <c:v>3511.1145999999999</c:v>
                </c:pt>
                <c:pt idx="69">
                  <c:v>3565.4029999999998</c:v>
                </c:pt>
                <c:pt idx="70">
                  <c:v>3569.8018000000002</c:v>
                </c:pt>
                <c:pt idx="71">
                  <c:v>3541.6619000000001</c:v>
                </c:pt>
                <c:pt idx="72">
                  <c:v>3530.9045000000001</c:v>
                </c:pt>
                <c:pt idx="73">
                  <c:v>3506.2249000000002</c:v>
                </c:pt>
                <c:pt idx="74">
                  <c:v>3521.6219000000001</c:v>
                </c:pt>
                <c:pt idx="75">
                  <c:v>3530.2813000000001</c:v>
                </c:pt>
                <c:pt idx="76">
                  <c:v>3584.2685999999999</c:v>
                </c:pt>
                <c:pt idx="77">
                  <c:v>3623.9124000000002</c:v>
                </c:pt>
                <c:pt idx="78">
                  <c:v>3604.3942999999999</c:v>
                </c:pt>
                <c:pt idx="79">
                  <c:v>3657.8766999999998</c:v>
                </c:pt>
                <c:pt idx="80">
                  <c:v>3659.0075999999999</c:v>
                </c:pt>
                <c:pt idx="81">
                  <c:v>3630.2233000000001</c:v>
                </c:pt>
                <c:pt idx="82">
                  <c:v>3664.5610000000001</c:v>
                </c:pt>
                <c:pt idx="83">
                  <c:v>3666.2770999999998</c:v>
                </c:pt>
                <c:pt idx="84">
                  <c:v>3664.6907000000001</c:v>
                </c:pt>
                <c:pt idx="85">
                  <c:v>3657.0454</c:v>
                </c:pt>
                <c:pt idx="86">
                  <c:v>3626.0558999999998</c:v>
                </c:pt>
                <c:pt idx="87">
                  <c:v>3640.3591999999999</c:v>
                </c:pt>
                <c:pt idx="88">
                  <c:v>3677.9695999999999</c:v>
                </c:pt>
                <c:pt idx="89">
                  <c:v>3690.9623000000001</c:v>
                </c:pt>
                <c:pt idx="90">
                  <c:v>3676.1610999999998</c:v>
                </c:pt>
                <c:pt idx="91">
                  <c:v>3684.451</c:v>
                </c:pt>
                <c:pt idx="92">
                  <c:v>3641.7917000000002</c:v>
                </c:pt>
                <c:pt idx="93">
                  <c:v>3601.4753999999998</c:v>
                </c:pt>
                <c:pt idx="94">
                  <c:v>3635.7078999999999</c:v>
                </c:pt>
                <c:pt idx="95">
                  <c:v>3609.1723999999999</c:v>
                </c:pt>
                <c:pt idx="96">
                  <c:v>3613.5223000000001</c:v>
                </c:pt>
                <c:pt idx="97">
                  <c:v>3594.3121000000001</c:v>
                </c:pt>
                <c:pt idx="98">
                  <c:v>3579.9247</c:v>
                </c:pt>
                <c:pt idx="99">
                  <c:v>3588.7483000000002</c:v>
                </c:pt>
                <c:pt idx="100">
                  <c:v>3615.6714000000002</c:v>
                </c:pt>
                <c:pt idx="101">
                  <c:v>3594.7936</c:v>
                </c:pt>
                <c:pt idx="102">
                  <c:v>3592.2453999999998</c:v>
                </c:pt>
                <c:pt idx="103">
                  <c:v>3574.1143000000002</c:v>
                </c:pt>
                <c:pt idx="104">
                  <c:v>3542.8771000000002</c:v>
                </c:pt>
                <c:pt idx="105">
                  <c:v>3544.1224999999999</c:v>
                </c:pt>
                <c:pt idx="106">
                  <c:v>3526.1306</c:v>
                </c:pt>
                <c:pt idx="107">
                  <c:v>3541.5331000000001</c:v>
                </c:pt>
                <c:pt idx="108">
                  <c:v>3536.1986000000002</c:v>
                </c:pt>
                <c:pt idx="109">
                  <c:v>3545.5902000000001</c:v>
                </c:pt>
                <c:pt idx="110">
                  <c:v>3528.7489999999998</c:v>
                </c:pt>
                <c:pt idx="111">
                  <c:v>3503.2817</c:v>
                </c:pt>
                <c:pt idx="112">
                  <c:v>3495.6197999999999</c:v>
                </c:pt>
                <c:pt idx="113">
                  <c:v>3476.8101999999999</c:v>
                </c:pt>
                <c:pt idx="114">
                  <c:v>3457.9023000000002</c:v>
                </c:pt>
                <c:pt idx="115">
                  <c:v>3480.2647999999999</c:v>
                </c:pt>
                <c:pt idx="116">
                  <c:v>3454.1174999999998</c:v>
                </c:pt>
                <c:pt idx="117">
                  <c:v>3461.6570000000002</c:v>
                </c:pt>
                <c:pt idx="118">
                  <c:v>3478.1826999999998</c:v>
                </c:pt>
                <c:pt idx="119">
                  <c:v>3471.7856999999999</c:v>
                </c:pt>
                <c:pt idx="120">
                  <c:v>3463.4141</c:v>
                </c:pt>
                <c:pt idx="121">
                  <c:v>3445.8128000000002</c:v>
                </c:pt>
                <c:pt idx="122">
                  <c:v>3431.0605</c:v>
                </c:pt>
                <c:pt idx="123">
                  <c:v>3401.7604000000001</c:v>
                </c:pt>
                <c:pt idx="124">
                  <c:v>3439.8110999999999</c:v>
                </c:pt>
                <c:pt idx="125">
                  <c:v>3428.9657000000002</c:v>
                </c:pt>
                <c:pt idx="126">
                  <c:v>3468.1689999999999</c:v>
                </c:pt>
                <c:pt idx="127">
                  <c:v>3472.4014000000002</c:v>
                </c:pt>
                <c:pt idx="128">
                  <c:v>3476.2467000000001</c:v>
                </c:pt>
                <c:pt idx="129">
                  <c:v>3498.2827000000002</c:v>
                </c:pt>
                <c:pt idx="130">
                  <c:v>3501.5835999999999</c:v>
                </c:pt>
                <c:pt idx="131">
                  <c:v>3520.931</c:v>
                </c:pt>
                <c:pt idx="132">
                  <c:v>3539.0156000000002</c:v>
                </c:pt>
                <c:pt idx="133">
                  <c:v>3514.9249</c:v>
                </c:pt>
                <c:pt idx="134">
                  <c:v>3439.8779</c:v>
                </c:pt>
                <c:pt idx="135">
                  <c:v>3418.1662999999999</c:v>
                </c:pt>
                <c:pt idx="136">
                  <c:v>3399.2716</c:v>
                </c:pt>
                <c:pt idx="137">
                  <c:v>3409.2930999999999</c:v>
                </c:pt>
                <c:pt idx="138">
                  <c:v>3390.7420000000002</c:v>
                </c:pt>
                <c:pt idx="139">
                  <c:v>3369.3820999999998</c:v>
                </c:pt>
                <c:pt idx="140">
                  <c:v>3442.0844000000002</c:v>
                </c:pt>
                <c:pt idx="141">
                  <c:v>3419.2665999999999</c:v>
                </c:pt>
                <c:pt idx="142">
                  <c:v>3384.3919000000001</c:v>
                </c:pt>
                <c:pt idx="143">
                  <c:v>3343.3204999999998</c:v>
                </c:pt>
                <c:pt idx="144">
                  <c:v>3342.9789000000001</c:v>
                </c:pt>
                <c:pt idx="145">
                  <c:v>3341.489</c:v>
                </c:pt>
                <c:pt idx="146">
                  <c:v>3342.9369000000002</c:v>
                </c:pt>
                <c:pt idx="147">
                  <c:v>3331.6273999999999</c:v>
                </c:pt>
                <c:pt idx="148">
                  <c:v>3325.8645000000001</c:v>
                </c:pt>
                <c:pt idx="149">
                  <c:v>3334.3903</c:v>
                </c:pt>
                <c:pt idx="150">
                  <c:v>3309.2388999999998</c:v>
                </c:pt>
                <c:pt idx="151">
                  <c:v>3341.953</c:v>
                </c:pt>
                <c:pt idx="152">
                  <c:v>3345.634</c:v>
                </c:pt>
                <c:pt idx="153">
                  <c:v>3356.9677000000001</c:v>
                </c:pt>
                <c:pt idx="154">
                  <c:v>3332.7033999999999</c:v>
                </c:pt>
                <c:pt idx="155">
                  <c:v>3321.6350000000002</c:v>
                </c:pt>
                <c:pt idx="156">
                  <c:v>3313.1356999999998</c:v>
                </c:pt>
                <c:pt idx="157">
                  <c:v>3327.1905000000002</c:v>
                </c:pt>
                <c:pt idx="158">
                  <c:v>3324.2231000000002</c:v>
                </c:pt>
                <c:pt idx="159">
                  <c:v>3305.3337999999999</c:v>
                </c:pt>
                <c:pt idx="160">
                  <c:v>3286.4956000000002</c:v>
                </c:pt>
                <c:pt idx="161">
                  <c:v>3277.6812</c:v>
                </c:pt>
                <c:pt idx="162">
                  <c:v>3321.4322999999999</c:v>
                </c:pt>
                <c:pt idx="163">
                  <c:v>3265.011</c:v>
                </c:pt>
                <c:pt idx="164">
                  <c:v>3273.4281999999998</c:v>
                </c:pt>
                <c:pt idx="165">
                  <c:v>3252.1649000000002</c:v>
                </c:pt>
                <c:pt idx="166">
                  <c:v>3257.7577999999999</c:v>
                </c:pt>
                <c:pt idx="167">
                  <c:v>3231.3456999999999</c:v>
                </c:pt>
                <c:pt idx="168">
                  <c:v>3192.9515999999999</c:v>
                </c:pt>
                <c:pt idx="169">
                  <c:v>3195.7552000000001</c:v>
                </c:pt>
                <c:pt idx="170">
                  <c:v>3186.1298999999999</c:v>
                </c:pt>
                <c:pt idx="171">
                  <c:v>3172.4747000000002</c:v>
                </c:pt>
                <c:pt idx="172">
                  <c:v>3159.2469999999998</c:v>
                </c:pt>
                <c:pt idx="173">
                  <c:v>3171.0102000000002</c:v>
                </c:pt>
                <c:pt idx="174">
                  <c:v>3196.0356999999999</c:v>
                </c:pt>
                <c:pt idx="175">
                  <c:v>3201.0497</c:v>
                </c:pt>
                <c:pt idx="176">
                  <c:v>3212.7638999999999</c:v>
                </c:pt>
                <c:pt idx="177">
                  <c:v>3351.9090000000001</c:v>
                </c:pt>
                <c:pt idx="178">
                  <c:v>3401.5329999999999</c:v>
                </c:pt>
                <c:pt idx="179">
                  <c:v>3545.3204000000001</c:v>
                </c:pt>
                <c:pt idx="180">
                  <c:v>3703.6849000000002</c:v>
                </c:pt>
                <c:pt idx="181">
                  <c:v>4017.8544999999999</c:v>
                </c:pt>
                <c:pt idx="182">
                  <c:v>4256.0962</c:v>
                </c:pt>
                <c:pt idx="183">
                  <c:v>3955.9839000000002</c:v>
                </c:pt>
                <c:pt idx="184">
                  <c:v>3997.7878999999998</c:v>
                </c:pt>
                <c:pt idx="185">
                  <c:v>3887.1669999999999</c:v>
                </c:pt>
                <c:pt idx="186">
                  <c:v>3961.3424</c:v>
                </c:pt>
                <c:pt idx="187">
                  <c:v>3855.9949000000001</c:v>
                </c:pt>
                <c:pt idx="188">
                  <c:v>3831.5889999999999</c:v>
                </c:pt>
                <c:pt idx="189">
                  <c:v>3788.2217000000001</c:v>
                </c:pt>
                <c:pt idx="190">
                  <c:v>3925.2339999999999</c:v>
                </c:pt>
                <c:pt idx="191">
                  <c:v>3935.1974</c:v>
                </c:pt>
                <c:pt idx="192">
                  <c:v>3957.7755000000002</c:v>
                </c:pt>
                <c:pt idx="193">
                  <c:v>3973.2089000000001</c:v>
                </c:pt>
                <c:pt idx="194">
                  <c:v>3928.8334</c:v>
                </c:pt>
                <c:pt idx="195">
                  <c:v>3956.4209999999998</c:v>
                </c:pt>
                <c:pt idx="196">
                  <c:v>3964.1569</c:v>
                </c:pt>
                <c:pt idx="197">
                  <c:v>3924.6489999999999</c:v>
                </c:pt>
                <c:pt idx="198">
                  <c:v>3889.4486999999999</c:v>
                </c:pt>
                <c:pt idx="199">
                  <c:v>3891.0396000000001</c:v>
                </c:pt>
                <c:pt idx="200">
                  <c:v>3890.0203000000001</c:v>
                </c:pt>
                <c:pt idx="201">
                  <c:v>3944.7619</c:v>
                </c:pt>
                <c:pt idx="202">
                  <c:v>4044.5725000000002</c:v>
                </c:pt>
                <c:pt idx="203">
                  <c:v>4024.2831000000001</c:v>
                </c:pt>
                <c:pt idx="204">
                  <c:v>4145.6952000000001</c:v>
                </c:pt>
                <c:pt idx="205">
                  <c:v>4104.0469999999996</c:v>
                </c:pt>
                <c:pt idx="206">
                  <c:v>4131.1311999999998</c:v>
                </c:pt>
                <c:pt idx="207">
                  <c:v>4085.7429999999999</c:v>
                </c:pt>
                <c:pt idx="208">
                  <c:v>4110.8900999999996</c:v>
                </c:pt>
                <c:pt idx="209">
                  <c:v>4039.6190999999999</c:v>
                </c:pt>
                <c:pt idx="210">
                  <c:v>3968.8308000000002</c:v>
                </c:pt>
                <c:pt idx="211">
                  <c:v>3950.3806</c:v>
                </c:pt>
                <c:pt idx="212">
                  <c:v>3976.8912</c:v>
                </c:pt>
                <c:pt idx="213">
                  <c:v>3985.7727</c:v>
                </c:pt>
                <c:pt idx="214">
                  <c:v>3989.2979</c:v>
                </c:pt>
                <c:pt idx="215">
                  <c:v>3865.6988999999999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9-4B2B-B322-93C7C5311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5328"/>
        <c:axId val="121603888"/>
      </c:areaChart>
      <c:lineChart>
        <c:grouping val="standard"/>
        <c:varyColors val="0"/>
        <c:ser>
          <c:idx val="0"/>
          <c:order val="0"/>
          <c:tx>
            <c:strRef>
              <c:f>仓位序列!$B$1</c:f>
              <c:strCache>
                <c:ptCount val="1"/>
                <c:pt idx="0">
                  <c:v>权益仓位(穿透)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仓位序列!$B$2:$B$217</c:f>
              <c:numCache>
                <c:formatCode>0.00%</c:formatCode>
                <c:ptCount val="216"/>
                <c:pt idx="0">
                  <c:v>0.109708</c:v>
                </c:pt>
                <c:pt idx="1">
                  <c:v>0.11035399999999999</c:v>
                </c:pt>
                <c:pt idx="2">
                  <c:v>0.111734</c:v>
                </c:pt>
                <c:pt idx="3">
                  <c:v>0.11276700000000001</c:v>
                </c:pt>
                <c:pt idx="4">
                  <c:v>0.11486200000000001</c:v>
                </c:pt>
                <c:pt idx="5">
                  <c:v>0.11003499999999999</c:v>
                </c:pt>
                <c:pt idx="6">
                  <c:v>0.115749</c:v>
                </c:pt>
                <c:pt idx="7">
                  <c:v>0.114744</c:v>
                </c:pt>
                <c:pt idx="8">
                  <c:v>0.114895</c:v>
                </c:pt>
                <c:pt idx="9">
                  <c:v>0.115533</c:v>
                </c:pt>
                <c:pt idx="10">
                  <c:v>0.11586399999999999</c:v>
                </c:pt>
                <c:pt idx="11">
                  <c:v>0.11617</c:v>
                </c:pt>
                <c:pt idx="12">
                  <c:v>0.11522399999999999</c:v>
                </c:pt>
                <c:pt idx="13">
                  <c:v>0.114343</c:v>
                </c:pt>
                <c:pt idx="14">
                  <c:v>0.11677700000000001</c:v>
                </c:pt>
                <c:pt idx="15">
                  <c:v>0.11083999999999999</c:v>
                </c:pt>
                <c:pt idx="16">
                  <c:v>0.111501</c:v>
                </c:pt>
                <c:pt idx="17">
                  <c:v>0.116729</c:v>
                </c:pt>
                <c:pt idx="18">
                  <c:v>0.120659</c:v>
                </c:pt>
                <c:pt idx="19">
                  <c:v>0.122753</c:v>
                </c:pt>
                <c:pt idx="20">
                  <c:v>0.12300800000000001</c:v>
                </c:pt>
                <c:pt idx="21">
                  <c:v>0.121492</c:v>
                </c:pt>
                <c:pt idx="22">
                  <c:v>0.121778</c:v>
                </c:pt>
                <c:pt idx="23">
                  <c:v>0.12114800000000001</c:v>
                </c:pt>
                <c:pt idx="24">
                  <c:v>0.121338</c:v>
                </c:pt>
                <c:pt idx="25">
                  <c:v>0.122099</c:v>
                </c:pt>
                <c:pt idx="26">
                  <c:v>9.3340999999999993E-2</c:v>
                </c:pt>
                <c:pt idx="27">
                  <c:v>5.9898E-2</c:v>
                </c:pt>
                <c:pt idx="28">
                  <c:v>5.9150000000000001E-2</c:v>
                </c:pt>
                <c:pt idx="29">
                  <c:v>6.0401000000000003E-2</c:v>
                </c:pt>
                <c:pt idx="30">
                  <c:v>6.0398E-2</c:v>
                </c:pt>
                <c:pt idx="31">
                  <c:v>6.8353999999999998E-2</c:v>
                </c:pt>
                <c:pt idx="32">
                  <c:v>6.9181999999999994E-2</c:v>
                </c:pt>
                <c:pt idx="33">
                  <c:v>6.9608000000000003E-2</c:v>
                </c:pt>
                <c:pt idx="34">
                  <c:v>6.7333000000000004E-2</c:v>
                </c:pt>
                <c:pt idx="35">
                  <c:v>6.7517999999999995E-2</c:v>
                </c:pt>
                <c:pt idx="36">
                  <c:v>6.6833000000000004E-2</c:v>
                </c:pt>
                <c:pt idx="37">
                  <c:v>6.7483000000000001E-2</c:v>
                </c:pt>
                <c:pt idx="38">
                  <c:v>6.7303000000000002E-2</c:v>
                </c:pt>
                <c:pt idx="39">
                  <c:v>6.7933999999999994E-2</c:v>
                </c:pt>
                <c:pt idx="40">
                  <c:v>6.8475999999999995E-2</c:v>
                </c:pt>
                <c:pt idx="41">
                  <c:v>6.8530999999999995E-2</c:v>
                </c:pt>
                <c:pt idx="42">
                  <c:v>6.9184999999999997E-2</c:v>
                </c:pt>
                <c:pt idx="43">
                  <c:v>7.2026999999999994E-2</c:v>
                </c:pt>
                <c:pt idx="44">
                  <c:v>7.1584999999999996E-2</c:v>
                </c:pt>
                <c:pt idx="45">
                  <c:v>7.0446999999999996E-2</c:v>
                </c:pt>
                <c:pt idx="46">
                  <c:v>7.0354E-2</c:v>
                </c:pt>
                <c:pt idx="47">
                  <c:v>6.9373000000000004E-2</c:v>
                </c:pt>
                <c:pt idx="48">
                  <c:v>7.0013000000000006E-2</c:v>
                </c:pt>
                <c:pt idx="49">
                  <c:v>6.9592000000000001E-2</c:v>
                </c:pt>
                <c:pt idx="50">
                  <c:v>6.9246000000000002E-2</c:v>
                </c:pt>
                <c:pt idx="51">
                  <c:v>7.0044999999999996E-2</c:v>
                </c:pt>
                <c:pt idx="52">
                  <c:v>7.0017999999999997E-2</c:v>
                </c:pt>
                <c:pt idx="53">
                  <c:v>6.9504999999999997E-2</c:v>
                </c:pt>
                <c:pt idx="54">
                  <c:v>6.9776000000000005E-2</c:v>
                </c:pt>
                <c:pt idx="55">
                  <c:v>7.0078000000000001E-2</c:v>
                </c:pt>
                <c:pt idx="56">
                  <c:v>7.0657999999999999E-2</c:v>
                </c:pt>
                <c:pt idx="57">
                  <c:v>6.9906999999999997E-2</c:v>
                </c:pt>
                <c:pt idx="58">
                  <c:v>7.1123000000000006E-2</c:v>
                </c:pt>
                <c:pt idx="59">
                  <c:v>7.1006E-2</c:v>
                </c:pt>
                <c:pt idx="60">
                  <c:v>7.0812E-2</c:v>
                </c:pt>
                <c:pt idx="61">
                  <c:v>7.0557999999999996E-2</c:v>
                </c:pt>
                <c:pt idx="62">
                  <c:v>6.8694000000000005E-2</c:v>
                </c:pt>
                <c:pt idx="63">
                  <c:v>6.8292000000000005E-2</c:v>
                </c:pt>
                <c:pt idx="64">
                  <c:v>6.8364999999999995E-2</c:v>
                </c:pt>
                <c:pt idx="65">
                  <c:v>6.8886000000000003E-2</c:v>
                </c:pt>
                <c:pt idx="66">
                  <c:v>6.8631999999999999E-2</c:v>
                </c:pt>
                <c:pt idx="67">
                  <c:v>7.6096999999999998E-2</c:v>
                </c:pt>
                <c:pt idx="68">
                  <c:v>6.9334999999999994E-2</c:v>
                </c:pt>
                <c:pt idx="69">
                  <c:v>7.7066999999999997E-2</c:v>
                </c:pt>
                <c:pt idx="70">
                  <c:v>7.7078999999999995E-2</c:v>
                </c:pt>
                <c:pt idx="71">
                  <c:v>7.8058000000000002E-2</c:v>
                </c:pt>
                <c:pt idx="72">
                  <c:v>7.6078999999999994E-2</c:v>
                </c:pt>
                <c:pt idx="73">
                  <c:v>7.4795E-2</c:v>
                </c:pt>
                <c:pt idx="74">
                  <c:v>8.6352999999999999E-2</c:v>
                </c:pt>
                <c:pt idx="75">
                  <c:v>9.5771999999999996E-2</c:v>
                </c:pt>
                <c:pt idx="76">
                  <c:v>8.8081000000000007E-2</c:v>
                </c:pt>
                <c:pt idx="77">
                  <c:v>8.9562000000000003E-2</c:v>
                </c:pt>
                <c:pt idx="78">
                  <c:v>9.0823000000000001E-2</c:v>
                </c:pt>
                <c:pt idx="79">
                  <c:v>9.0576000000000004E-2</c:v>
                </c:pt>
                <c:pt idx="80">
                  <c:v>9.1009000000000007E-2</c:v>
                </c:pt>
                <c:pt idx="81">
                  <c:v>9.1906000000000002E-2</c:v>
                </c:pt>
                <c:pt idx="82">
                  <c:v>9.2649999999999996E-2</c:v>
                </c:pt>
                <c:pt idx="83">
                  <c:v>9.4874E-2</c:v>
                </c:pt>
                <c:pt idx="84">
                  <c:v>0.12587400000000001</c:v>
                </c:pt>
                <c:pt idx="85">
                  <c:v>0.14774399999999999</c:v>
                </c:pt>
                <c:pt idx="86">
                  <c:v>0.164966</c:v>
                </c:pt>
                <c:pt idx="87">
                  <c:v>0.16316</c:v>
                </c:pt>
                <c:pt idx="88">
                  <c:v>0.166106</c:v>
                </c:pt>
                <c:pt idx="89">
                  <c:v>0.170319</c:v>
                </c:pt>
                <c:pt idx="90">
                  <c:v>0.17025199999999999</c:v>
                </c:pt>
                <c:pt idx="91">
                  <c:v>0.16944400000000001</c:v>
                </c:pt>
                <c:pt idx="92">
                  <c:v>0.16684199999999999</c:v>
                </c:pt>
                <c:pt idx="93">
                  <c:v>0.157971</c:v>
                </c:pt>
                <c:pt idx="94">
                  <c:v>0.16173499999999999</c:v>
                </c:pt>
                <c:pt idx="95">
                  <c:v>0.164995</c:v>
                </c:pt>
                <c:pt idx="96">
                  <c:v>0.165995</c:v>
                </c:pt>
                <c:pt idx="97">
                  <c:v>0.16251199999999999</c:v>
                </c:pt>
                <c:pt idx="98">
                  <c:v>0.16330600000000001</c:v>
                </c:pt>
                <c:pt idx="99">
                  <c:v>0.16156999999999999</c:v>
                </c:pt>
                <c:pt idx="100">
                  <c:v>0.162795</c:v>
                </c:pt>
                <c:pt idx="101">
                  <c:v>0.162021</c:v>
                </c:pt>
                <c:pt idx="102">
                  <c:v>0.16341900000000001</c:v>
                </c:pt>
                <c:pt idx="103">
                  <c:v>0.19314999999999999</c:v>
                </c:pt>
                <c:pt idx="104">
                  <c:v>0.19025800000000001</c:v>
                </c:pt>
                <c:pt idx="105">
                  <c:v>0.20047100000000001</c:v>
                </c:pt>
                <c:pt idx="106">
                  <c:v>0.20003499999999999</c:v>
                </c:pt>
                <c:pt idx="107">
                  <c:v>0.167569</c:v>
                </c:pt>
                <c:pt idx="108">
                  <c:v>0.166912</c:v>
                </c:pt>
                <c:pt idx="109">
                  <c:v>0.16924</c:v>
                </c:pt>
                <c:pt idx="110">
                  <c:v>0.17347899999999999</c:v>
                </c:pt>
                <c:pt idx="111">
                  <c:v>0.17391699999999999</c:v>
                </c:pt>
                <c:pt idx="112">
                  <c:v>0.17320199999999999</c:v>
                </c:pt>
                <c:pt idx="113">
                  <c:v>0.17178099999999999</c:v>
                </c:pt>
                <c:pt idx="114">
                  <c:v>0.17203299999999999</c:v>
                </c:pt>
                <c:pt idx="115">
                  <c:v>0.16658000000000001</c:v>
                </c:pt>
                <c:pt idx="116">
                  <c:v>0.16595799999999999</c:v>
                </c:pt>
                <c:pt idx="117">
                  <c:v>0.17033200000000001</c:v>
                </c:pt>
                <c:pt idx="118">
                  <c:v>0.174707</c:v>
                </c:pt>
                <c:pt idx="119">
                  <c:v>0.17419399999999999</c:v>
                </c:pt>
                <c:pt idx="120">
                  <c:v>0.17272499999999999</c:v>
                </c:pt>
                <c:pt idx="121">
                  <c:v>0.172318</c:v>
                </c:pt>
                <c:pt idx="122">
                  <c:v>0.17252799999999999</c:v>
                </c:pt>
                <c:pt idx="123">
                  <c:v>0.17307800000000001</c:v>
                </c:pt>
                <c:pt idx="124">
                  <c:v>0.17494199999999999</c:v>
                </c:pt>
                <c:pt idx="125">
                  <c:v>0.17066400000000001</c:v>
                </c:pt>
                <c:pt idx="126">
                  <c:v>0.17231099999999999</c:v>
                </c:pt>
                <c:pt idx="127">
                  <c:v>0.168017</c:v>
                </c:pt>
                <c:pt idx="128">
                  <c:v>0.16775899999999999</c:v>
                </c:pt>
                <c:pt idx="129">
                  <c:v>0.16747999999999999</c:v>
                </c:pt>
                <c:pt idx="130">
                  <c:v>0.16624900000000001</c:v>
                </c:pt>
                <c:pt idx="131">
                  <c:v>0.170407</c:v>
                </c:pt>
                <c:pt idx="132">
                  <c:v>0.17288400000000001</c:v>
                </c:pt>
                <c:pt idx="133">
                  <c:v>0.17096800000000001</c:v>
                </c:pt>
                <c:pt idx="134">
                  <c:v>0.169624</c:v>
                </c:pt>
                <c:pt idx="135">
                  <c:v>0.17555999999999999</c:v>
                </c:pt>
                <c:pt idx="136">
                  <c:v>0.17424300000000001</c:v>
                </c:pt>
                <c:pt idx="137">
                  <c:v>0.174572</c:v>
                </c:pt>
                <c:pt idx="138">
                  <c:v>0.17546500000000001</c:v>
                </c:pt>
                <c:pt idx="139">
                  <c:v>0.173429</c:v>
                </c:pt>
                <c:pt idx="140">
                  <c:v>0.17527799999999999</c:v>
                </c:pt>
                <c:pt idx="141">
                  <c:v>0.174787</c:v>
                </c:pt>
                <c:pt idx="142">
                  <c:v>0.17294799999999999</c:v>
                </c:pt>
                <c:pt idx="143">
                  <c:v>0.16530500000000001</c:v>
                </c:pt>
                <c:pt idx="144">
                  <c:v>0.16342300000000001</c:v>
                </c:pt>
                <c:pt idx="145">
                  <c:v>0.147594</c:v>
                </c:pt>
                <c:pt idx="146">
                  <c:v>0.147011</c:v>
                </c:pt>
                <c:pt idx="147">
                  <c:v>0.15542900000000001</c:v>
                </c:pt>
                <c:pt idx="148">
                  <c:v>0.156087</c:v>
                </c:pt>
                <c:pt idx="149">
                  <c:v>0.15632799999999999</c:v>
                </c:pt>
                <c:pt idx="150">
                  <c:v>0.155559</c:v>
                </c:pt>
                <c:pt idx="151">
                  <c:v>0.15762399999999999</c:v>
                </c:pt>
                <c:pt idx="152">
                  <c:v>0.15749199999999999</c:v>
                </c:pt>
                <c:pt idx="153">
                  <c:v>0.161493</c:v>
                </c:pt>
                <c:pt idx="154">
                  <c:v>0.158191</c:v>
                </c:pt>
                <c:pt idx="155">
                  <c:v>0.15420400000000001</c:v>
                </c:pt>
                <c:pt idx="156">
                  <c:v>0.15453</c:v>
                </c:pt>
                <c:pt idx="157">
                  <c:v>0.15445900000000001</c:v>
                </c:pt>
                <c:pt idx="158">
                  <c:v>0.15431900000000001</c:v>
                </c:pt>
                <c:pt idx="159">
                  <c:v>0.15420700000000001</c:v>
                </c:pt>
                <c:pt idx="160">
                  <c:v>0.15387700000000001</c:v>
                </c:pt>
                <c:pt idx="161">
                  <c:v>0.15249399999999999</c:v>
                </c:pt>
                <c:pt idx="162">
                  <c:v>0.15417700000000001</c:v>
                </c:pt>
                <c:pt idx="163">
                  <c:v>0.153754</c:v>
                </c:pt>
                <c:pt idx="164">
                  <c:v>0.15265100000000001</c:v>
                </c:pt>
                <c:pt idx="165">
                  <c:v>0.15201999999999999</c:v>
                </c:pt>
                <c:pt idx="166">
                  <c:v>0.15185699999999999</c:v>
                </c:pt>
                <c:pt idx="167">
                  <c:v>0.15060699999999999</c:v>
                </c:pt>
                <c:pt idx="168">
                  <c:v>0.150116</c:v>
                </c:pt>
                <c:pt idx="169">
                  <c:v>0.15093300000000001</c:v>
                </c:pt>
                <c:pt idx="170">
                  <c:v>0.146259</c:v>
                </c:pt>
                <c:pt idx="171">
                  <c:v>0.14643700000000001</c:v>
                </c:pt>
                <c:pt idx="172">
                  <c:v>0.14476900000000001</c:v>
                </c:pt>
                <c:pt idx="173">
                  <c:v>0.14532600000000001</c:v>
                </c:pt>
                <c:pt idx="174">
                  <c:v>0.14698</c:v>
                </c:pt>
                <c:pt idx="175">
                  <c:v>0.14846599999999999</c:v>
                </c:pt>
                <c:pt idx="176">
                  <c:v>0.14912300000000001</c:v>
                </c:pt>
                <c:pt idx="177">
                  <c:v>0.15628800000000001</c:v>
                </c:pt>
                <c:pt idx="178">
                  <c:v>0.15683900000000001</c:v>
                </c:pt>
                <c:pt idx="179">
                  <c:v>0.161796</c:v>
                </c:pt>
                <c:pt idx="180">
                  <c:v>0.16420999999999999</c:v>
                </c:pt>
                <c:pt idx="181">
                  <c:v>0.17561399999999999</c:v>
                </c:pt>
                <c:pt idx="182">
                  <c:v>0.177677</c:v>
                </c:pt>
                <c:pt idx="183">
                  <c:v>0.16428100000000001</c:v>
                </c:pt>
                <c:pt idx="184">
                  <c:v>0.167517</c:v>
                </c:pt>
                <c:pt idx="185">
                  <c:v>0.16566800000000001</c:v>
                </c:pt>
                <c:pt idx="186">
                  <c:v>0.17036899999999999</c:v>
                </c:pt>
                <c:pt idx="187">
                  <c:v>0.185445</c:v>
                </c:pt>
                <c:pt idx="188">
                  <c:v>0.204258</c:v>
                </c:pt>
                <c:pt idx="189">
                  <c:v>0.20088600000000001</c:v>
                </c:pt>
                <c:pt idx="190">
                  <c:v>0.203037</c:v>
                </c:pt>
                <c:pt idx="191">
                  <c:v>0.20303299999999999</c:v>
                </c:pt>
                <c:pt idx="192">
                  <c:v>0.20410300000000001</c:v>
                </c:pt>
                <c:pt idx="193">
                  <c:v>0.20619000000000001</c:v>
                </c:pt>
                <c:pt idx="194">
                  <c:v>0.20504500000000001</c:v>
                </c:pt>
                <c:pt idx="195">
                  <c:v>0.19853699999999999</c:v>
                </c:pt>
                <c:pt idx="196">
                  <c:v>0.19867899999999999</c:v>
                </c:pt>
                <c:pt idx="197">
                  <c:v>0.197266</c:v>
                </c:pt>
                <c:pt idx="198">
                  <c:v>0.19573499999999999</c:v>
                </c:pt>
                <c:pt idx="199">
                  <c:v>0.19534299999999999</c:v>
                </c:pt>
                <c:pt idx="200">
                  <c:v>0.19747700000000001</c:v>
                </c:pt>
                <c:pt idx="201">
                  <c:v>0.19659699999999999</c:v>
                </c:pt>
                <c:pt idx="202">
                  <c:v>0.20038600000000001</c:v>
                </c:pt>
                <c:pt idx="203">
                  <c:v>0.19939000000000001</c:v>
                </c:pt>
                <c:pt idx="204">
                  <c:v>0.20266899999999999</c:v>
                </c:pt>
                <c:pt idx="205">
                  <c:v>0.19955400000000001</c:v>
                </c:pt>
                <c:pt idx="206">
                  <c:v>0.19760900000000001</c:v>
                </c:pt>
                <c:pt idx="207">
                  <c:v>0.195852</c:v>
                </c:pt>
                <c:pt idx="208">
                  <c:v>0.19674900000000001</c:v>
                </c:pt>
                <c:pt idx="209">
                  <c:v>0.19438</c:v>
                </c:pt>
                <c:pt idx="210">
                  <c:v>0.19375300000000001</c:v>
                </c:pt>
                <c:pt idx="211">
                  <c:v>0.19697799999999999</c:v>
                </c:pt>
                <c:pt idx="212">
                  <c:v>0.199325</c:v>
                </c:pt>
                <c:pt idx="213">
                  <c:v>0.20055899999999999</c:v>
                </c:pt>
                <c:pt idx="214">
                  <c:v>0.20025699999999999</c:v>
                </c:pt>
                <c:pt idx="215">
                  <c:v>0.19653999999999999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9-4B2B-B322-93C7C5311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748143"/>
        <c:axId val="792749103"/>
      </c:lineChart>
      <c:dateAx>
        <c:axId val="792748143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9103"/>
        <c:crosses val="autoZero"/>
        <c:auto val="1"/>
        <c:lblOffset val="100"/>
        <c:baseTimeUnit val="days"/>
      </c:dateAx>
      <c:valAx>
        <c:axId val="7927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8143"/>
        <c:crosses val="autoZero"/>
        <c:crossBetween val="between"/>
      </c:valAx>
      <c:valAx>
        <c:axId val="121603888"/>
        <c:scaling>
          <c:orientation val="minMax"/>
          <c:min val="25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1605328"/>
        <c:crosses val="max"/>
        <c:crossBetween val="between"/>
      </c:valAx>
      <c:dateAx>
        <c:axId val="121605328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crossAx val="1216038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组合久期（穿透）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仓位序列!$E$1</c:f>
              <c:strCache>
                <c:ptCount val="1"/>
                <c:pt idx="0">
                  <c:v>中债新综合总财富指数(收盘价)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仓位序列!$E$2:$E$217</c:f>
              <c:numCache>
                <c:formatCode>#,##0.00</c:formatCode>
                <c:ptCount val="216"/>
                <c:pt idx="0">
                  <c:v>229.8451</c:v>
                </c:pt>
                <c:pt idx="1">
                  <c:v>229.88749999999999</c:v>
                </c:pt>
                <c:pt idx="2">
                  <c:v>229.8373</c:v>
                </c:pt>
                <c:pt idx="3">
                  <c:v>229.9325</c:v>
                </c:pt>
                <c:pt idx="4">
                  <c:v>230.09460000000001</c:v>
                </c:pt>
                <c:pt idx="5">
                  <c:v>230.1884</c:v>
                </c:pt>
                <c:pt idx="6">
                  <c:v>230.4195</c:v>
                </c:pt>
                <c:pt idx="7">
                  <c:v>230.4444</c:v>
                </c:pt>
                <c:pt idx="8">
                  <c:v>230.46209999999999</c:v>
                </c:pt>
                <c:pt idx="9">
                  <c:v>230.4332</c:v>
                </c:pt>
                <c:pt idx="10">
                  <c:v>230.4873</c:v>
                </c:pt>
                <c:pt idx="11">
                  <c:v>230.4982</c:v>
                </c:pt>
                <c:pt idx="12">
                  <c:v>230.57650000000001</c:v>
                </c:pt>
                <c:pt idx="13">
                  <c:v>230.72720000000001</c:v>
                </c:pt>
                <c:pt idx="14">
                  <c:v>230.83349999999999</c:v>
                </c:pt>
                <c:pt idx="15">
                  <c:v>231.09780000000001</c:v>
                </c:pt>
                <c:pt idx="16">
                  <c:v>231.15459999999999</c:v>
                </c:pt>
                <c:pt idx="17">
                  <c:v>231.2218</c:v>
                </c:pt>
                <c:pt idx="18">
                  <c:v>231.36019999999999</c:v>
                </c:pt>
                <c:pt idx="19">
                  <c:v>231.4128</c:v>
                </c:pt>
                <c:pt idx="20">
                  <c:v>231.5478</c:v>
                </c:pt>
                <c:pt idx="21">
                  <c:v>231.9562</c:v>
                </c:pt>
                <c:pt idx="22">
                  <c:v>232.33609999999999</c:v>
                </c:pt>
                <c:pt idx="23">
                  <c:v>232.39490000000001</c:v>
                </c:pt>
                <c:pt idx="24">
                  <c:v>232.3914</c:v>
                </c:pt>
                <c:pt idx="25">
                  <c:v>232.6497</c:v>
                </c:pt>
                <c:pt idx="26">
                  <c:v>232.4177</c:v>
                </c:pt>
                <c:pt idx="27">
                  <c:v>232.48349999999999</c:v>
                </c:pt>
                <c:pt idx="28">
                  <c:v>232.4648</c:v>
                </c:pt>
                <c:pt idx="29">
                  <c:v>232.71440000000001</c:v>
                </c:pt>
                <c:pt idx="30">
                  <c:v>232.85820000000001</c:v>
                </c:pt>
                <c:pt idx="31">
                  <c:v>232.91739999999999</c:v>
                </c:pt>
                <c:pt idx="32">
                  <c:v>233.01859999999999</c:v>
                </c:pt>
                <c:pt idx="33">
                  <c:v>233.19759999999999</c:v>
                </c:pt>
                <c:pt idx="34">
                  <c:v>233.3672</c:v>
                </c:pt>
                <c:pt idx="35">
                  <c:v>233.5772</c:v>
                </c:pt>
                <c:pt idx="36">
                  <c:v>233.73339999999999</c:v>
                </c:pt>
                <c:pt idx="37">
                  <c:v>234.04849999999999</c:v>
                </c:pt>
                <c:pt idx="38">
                  <c:v>233.7782</c:v>
                </c:pt>
                <c:pt idx="39">
                  <c:v>233.90360000000001</c:v>
                </c:pt>
                <c:pt idx="40">
                  <c:v>233.96690000000001</c:v>
                </c:pt>
                <c:pt idx="41">
                  <c:v>234.3408</c:v>
                </c:pt>
                <c:pt idx="42">
                  <c:v>234.48079999999999</c:v>
                </c:pt>
                <c:pt idx="43">
                  <c:v>234.47559999999999</c:v>
                </c:pt>
                <c:pt idx="44">
                  <c:v>234.34270000000001</c:v>
                </c:pt>
                <c:pt idx="45">
                  <c:v>233.91720000000001</c:v>
                </c:pt>
                <c:pt idx="46">
                  <c:v>233.81030000000001</c:v>
                </c:pt>
                <c:pt idx="47">
                  <c:v>233.7338</c:v>
                </c:pt>
                <c:pt idx="48">
                  <c:v>233.83510000000001</c:v>
                </c:pt>
                <c:pt idx="49">
                  <c:v>234.0412</c:v>
                </c:pt>
                <c:pt idx="50">
                  <c:v>234.23</c:v>
                </c:pt>
                <c:pt idx="51">
                  <c:v>234.2072</c:v>
                </c:pt>
                <c:pt idx="52">
                  <c:v>234.2321</c:v>
                </c:pt>
                <c:pt idx="53">
                  <c:v>234.2303</c:v>
                </c:pt>
                <c:pt idx="54">
                  <c:v>234.15100000000001</c:v>
                </c:pt>
                <c:pt idx="55">
                  <c:v>234.1371</c:v>
                </c:pt>
                <c:pt idx="56">
                  <c:v>234.268</c:v>
                </c:pt>
                <c:pt idx="57">
                  <c:v>234.35900000000001</c:v>
                </c:pt>
                <c:pt idx="58">
                  <c:v>234.46539999999999</c:v>
                </c:pt>
                <c:pt idx="59">
                  <c:v>234.39590000000001</c:v>
                </c:pt>
                <c:pt idx="60">
                  <c:v>234.52109999999999</c:v>
                </c:pt>
                <c:pt idx="61">
                  <c:v>234.69210000000001</c:v>
                </c:pt>
                <c:pt idx="62">
                  <c:v>234.8724</c:v>
                </c:pt>
                <c:pt idx="63">
                  <c:v>234.9949</c:v>
                </c:pt>
                <c:pt idx="64">
                  <c:v>234.97460000000001</c:v>
                </c:pt>
                <c:pt idx="65">
                  <c:v>235.01929999999999</c:v>
                </c:pt>
                <c:pt idx="66">
                  <c:v>235.24180000000001</c:v>
                </c:pt>
                <c:pt idx="67">
                  <c:v>235.37639999999999</c:v>
                </c:pt>
                <c:pt idx="68">
                  <c:v>235.42769999999999</c:v>
                </c:pt>
                <c:pt idx="69">
                  <c:v>235.55240000000001</c:v>
                </c:pt>
                <c:pt idx="70">
                  <c:v>235.7852</c:v>
                </c:pt>
                <c:pt idx="71">
                  <c:v>235.99260000000001</c:v>
                </c:pt>
                <c:pt idx="72">
                  <c:v>236.28469999999999</c:v>
                </c:pt>
                <c:pt idx="73">
                  <c:v>236.58369999999999</c:v>
                </c:pt>
                <c:pt idx="74">
                  <c:v>236.2346</c:v>
                </c:pt>
                <c:pt idx="75">
                  <c:v>236.08920000000001</c:v>
                </c:pt>
                <c:pt idx="76">
                  <c:v>235.74639999999999</c:v>
                </c:pt>
                <c:pt idx="77">
                  <c:v>235.0949</c:v>
                </c:pt>
                <c:pt idx="78">
                  <c:v>235.40049999999999</c:v>
                </c:pt>
                <c:pt idx="79">
                  <c:v>235.50790000000001</c:v>
                </c:pt>
                <c:pt idx="80">
                  <c:v>235.74359999999999</c:v>
                </c:pt>
                <c:pt idx="81">
                  <c:v>235.8227</c:v>
                </c:pt>
                <c:pt idx="82">
                  <c:v>235.71899999999999</c:v>
                </c:pt>
                <c:pt idx="83">
                  <c:v>235.66909999999999</c:v>
                </c:pt>
                <c:pt idx="84">
                  <c:v>235.83699999999999</c:v>
                </c:pt>
                <c:pt idx="85">
                  <c:v>236.01169999999999</c:v>
                </c:pt>
                <c:pt idx="86">
                  <c:v>236.02619999999999</c:v>
                </c:pt>
                <c:pt idx="87">
                  <c:v>235.9289</c:v>
                </c:pt>
                <c:pt idx="88">
                  <c:v>235.84870000000001</c:v>
                </c:pt>
                <c:pt idx="89">
                  <c:v>235.97130000000001</c:v>
                </c:pt>
                <c:pt idx="90">
                  <c:v>235.97409999999999</c:v>
                </c:pt>
                <c:pt idx="91">
                  <c:v>236.04230000000001</c:v>
                </c:pt>
                <c:pt idx="92">
                  <c:v>236.18989999999999</c:v>
                </c:pt>
                <c:pt idx="93">
                  <c:v>236.2037</c:v>
                </c:pt>
                <c:pt idx="94">
                  <c:v>236.23589999999999</c:v>
                </c:pt>
                <c:pt idx="95">
                  <c:v>236.3691</c:v>
                </c:pt>
                <c:pt idx="96">
                  <c:v>236.5436</c:v>
                </c:pt>
                <c:pt idx="97">
                  <c:v>236.60319999999999</c:v>
                </c:pt>
                <c:pt idx="98">
                  <c:v>236.499</c:v>
                </c:pt>
                <c:pt idx="99">
                  <c:v>236.6671</c:v>
                </c:pt>
                <c:pt idx="100">
                  <c:v>236.76240000000001</c:v>
                </c:pt>
                <c:pt idx="101">
                  <c:v>236.91749999999999</c:v>
                </c:pt>
                <c:pt idx="102">
                  <c:v>237.03280000000001</c:v>
                </c:pt>
                <c:pt idx="103">
                  <c:v>237.10480000000001</c:v>
                </c:pt>
                <c:pt idx="104">
                  <c:v>237.27099999999999</c:v>
                </c:pt>
                <c:pt idx="105">
                  <c:v>237.30269999999999</c:v>
                </c:pt>
                <c:pt idx="106">
                  <c:v>237.39590000000001</c:v>
                </c:pt>
                <c:pt idx="107">
                  <c:v>237.54949999999999</c:v>
                </c:pt>
                <c:pt idx="108">
                  <c:v>237.64439999999999</c:v>
                </c:pt>
                <c:pt idx="109">
                  <c:v>237.78819999999999</c:v>
                </c:pt>
                <c:pt idx="110">
                  <c:v>237.89449999999999</c:v>
                </c:pt>
                <c:pt idx="111">
                  <c:v>238.01169999999999</c:v>
                </c:pt>
                <c:pt idx="112">
                  <c:v>237.90610000000001</c:v>
                </c:pt>
                <c:pt idx="113">
                  <c:v>238.01570000000001</c:v>
                </c:pt>
                <c:pt idx="114">
                  <c:v>238.1772</c:v>
                </c:pt>
                <c:pt idx="115">
                  <c:v>238.25049999999999</c:v>
                </c:pt>
                <c:pt idx="116">
                  <c:v>238.41460000000001</c:v>
                </c:pt>
                <c:pt idx="117">
                  <c:v>238.54329999999999</c:v>
                </c:pt>
                <c:pt idx="118">
                  <c:v>238.3038</c:v>
                </c:pt>
                <c:pt idx="119">
                  <c:v>238.41319999999999</c:v>
                </c:pt>
                <c:pt idx="120">
                  <c:v>238.5795</c:v>
                </c:pt>
                <c:pt idx="121">
                  <c:v>238.60650000000001</c:v>
                </c:pt>
                <c:pt idx="122">
                  <c:v>238.43520000000001</c:v>
                </c:pt>
                <c:pt idx="123">
                  <c:v>238.19390000000001</c:v>
                </c:pt>
                <c:pt idx="124">
                  <c:v>238.38640000000001</c:v>
                </c:pt>
                <c:pt idx="125">
                  <c:v>238.4282</c:v>
                </c:pt>
                <c:pt idx="126">
                  <c:v>238.4879</c:v>
                </c:pt>
                <c:pt idx="127">
                  <c:v>238.61670000000001</c:v>
                </c:pt>
                <c:pt idx="128">
                  <c:v>238.76920000000001</c:v>
                </c:pt>
                <c:pt idx="129">
                  <c:v>238.7961</c:v>
                </c:pt>
                <c:pt idx="130">
                  <c:v>238.81780000000001</c:v>
                </c:pt>
                <c:pt idx="131">
                  <c:v>238.77420000000001</c:v>
                </c:pt>
                <c:pt idx="132">
                  <c:v>238.8083</c:v>
                </c:pt>
                <c:pt idx="133">
                  <c:v>239.11150000000001</c:v>
                </c:pt>
                <c:pt idx="134">
                  <c:v>239.31469999999999</c:v>
                </c:pt>
                <c:pt idx="135">
                  <c:v>239.40100000000001</c:v>
                </c:pt>
                <c:pt idx="136">
                  <c:v>239.61099999999999</c:v>
                </c:pt>
                <c:pt idx="137">
                  <c:v>239.7809</c:v>
                </c:pt>
                <c:pt idx="138">
                  <c:v>240.0307</c:v>
                </c:pt>
                <c:pt idx="139">
                  <c:v>240.23820000000001</c:v>
                </c:pt>
                <c:pt idx="140">
                  <c:v>240.37100000000001</c:v>
                </c:pt>
                <c:pt idx="141">
                  <c:v>240.5737</c:v>
                </c:pt>
                <c:pt idx="142">
                  <c:v>240.7533</c:v>
                </c:pt>
                <c:pt idx="143">
                  <c:v>240.97730000000001</c:v>
                </c:pt>
                <c:pt idx="144">
                  <c:v>240.83500000000001</c:v>
                </c:pt>
                <c:pt idx="145">
                  <c:v>241.00059999999999</c:v>
                </c:pt>
                <c:pt idx="146">
                  <c:v>240.78579999999999</c:v>
                </c:pt>
                <c:pt idx="147">
                  <c:v>240.50620000000001</c:v>
                </c:pt>
                <c:pt idx="148">
                  <c:v>239.9117</c:v>
                </c:pt>
                <c:pt idx="149">
                  <c:v>240.083</c:v>
                </c:pt>
                <c:pt idx="150">
                  <c:v>240.49459999999999</c:v>
                </c:pt>
                <c:pt idx="151">
                  <c:v>240.33840000000001</c:v>
                </c:pt>
                <c:pt idx="152">
                  <c:v>240.36089999999999</c:v>
                </c:pt>
                <c:pt idx="153">
                  <c:v>240.47649999999999</c:v>
                </c:pt>
                <c:pt idx="154">
                  <c:v>240.55260000000001</c:v>
                </c:pt>
                <c:pt idx="155">
                  <c:v>240.46950000000001</c:v>
                </c:pt>
                <c:pt idx="156">
                  <c:v>240.59790000000001</c:v>
                </c:pt>
                <c:pt idx="157">
                  <c:v>240.62459999999999</c:v>
                </c:pt>
                <c:pt idx="158">
                  <c:v>240.65880000000001</c:v>
                </c:pt>
                <c:pt idx="159">
                  <c:v>240.4118</c:v>
                </c:pt>
                <c:pt idx="160">
                  <c:v>240.49279999999999</c:v>
                </c:pt>
                <c:pt idx="161">
                  <c:v>240.5069</c:v>
                </c:pt>
                <c:pt idx="162">
                  <c:v>240.4802</c:v>
                </c:pt>
                <c:pt idx="163">
                  <c:v>240.8075</c:v>
                </c:pt>
                <c:pt idx="164">
                  <c:v>240.92840000000001</c:v>
                </c:pt>
                <c:pt idx="165">
                  <c:v>241.0942</c:v>
                </c:pt>
                <c:pt idx="166">
                  <c:v>241.29589999999999</c:v>
                </c:pt>
                <c:pt idx="167">
                  <c:v>241.35419999999999</c:v>
                </c:pt>
                <c:pt idx="168">
                  <c:v>241.5496</c:v>
                </c:pt>
                <c:pt idx="169">
                  <c:v>241.72329999999999</c:v>
                </c:pt>
                <c:pt idx="170">
                  <c:v>241.8981</c:v>
                </c:pt>
                <c:pt idx="171">
                  <c:v>242.00120000000001</c:v>
                </c:pt>
                <c:pt idx="172">
                  <c:v>242.18450000000001</c:v>
                </c:pt>
                <c:pt idx="173">
                  <c:v>242.64279999999999</c:v>
                </c:pt>
                <c:pt idx="174">
                  <c:v>242.62790000000001</c:v>
                </c:pt>
                <c:pt idx="175">
                  <c:v>242.6053</c:v>
                </c:pt>
                <c:pt idx="176">
                  <c:v>242.7072</c:v>
                </c:pt>
                <c:pt idx="177">
                  <c:v>242.47569999999999</c:v>
                </c:pt>
                <c:pt idx="178">
                  <c:v>242.6669</c:v>
                </c:pt>
                <c:pt idx="179">
                  <c:v>242.4811</c:v>
                </c:pt>
                <c:pt idx="180">
                  <c:v>241.3006</c:v>
                </c:pt>
                <c:pt idx="181">
                  <c:v>240.68090000000001</c:v>
                </c:pt>
                <c:pt idx="182">
                  <c:v>240.48339999999999</c:v>
                </c:pt>
                <c:pt idx="183">
                  <c:v>240.47300000000001</c:v>
                </c:pt>
                <c:pt idx="184">
                  <c:v>241.0076</c:v>
                </c:pt>
                <c:pt idx="185">
                  <c:v>241.2886</c:v>
                </c:pt>
                <c:pt idx="186">
                  <c:v>241.4058</c:v>
                </c:pt>
                <c:pt idx="187">
                  <c:v>241.45519999999999</c:v>
                </c:pt>
                <c:pt idx="188">
                  <c:v>241.483</c:v>
                </c:pt>
                <c:pt idx="189">
                  <c:v>241.6712</c:v>
                </c:pt>
                <c:pt idx="190">
                  <c:v>241.6781</c:v>
                </c:pt>
                <c:pt idx="191">
                  <c:v>241.65010000000001</c:v>
                </c:pt>
                <c:pt idx="192">
                  <c:v>241.4477</c:v>
                </c:pt>
                <c:pt idx="193">
                  <c:v>241.20079999999999</c:v>
                </c:pt>
                <c:pt idx="194">
                  <c:v>241.2149</c:v>
                </c:pt>
                <c:pt idx="195">
                  <c:v>241.0994</c:v>
                </c:pt>
                <c:pt idx="196">
                  <c:v>240.96619999999999</c:v>
                </c:pt>
                <c:pt idx="197">
                  <c:v>241.0206</c:v>
                </c:pt>
                <c:pt idx="198">
                  <c:v>241.05359999999999</c:v>
                </c:pt>
                <c:pt idx="199">
                  <c:v>241.13570000000001</c:v>
                </c:pt>
                <c:pt idx="200">
                  <c:v>241.37</c:v>
                </c:pt>
                <c:pt idx="201">
                  <c:v>241.5241</c:v>
                </c:pt>
                <c:pt idx="202">
                  <c:v>241.6251</c:v>
                </c:pt>
                <c:pt idx="203">
                  <c:v>241.69990000000001</c:v>
                </c:pt>
                <c:pt idx="204">
                  <c:v>241.82089999999999</c:v>
                </c:pt>
                <c:pt idx="205">
                  <c:v>241.92420000000001</c:v>
                </c:pt>
                <c:pt idx="206">
                  <c:v>242.0386</c:v>
                </c:pt>
                <c:pt idx="207">
                  <c:v>242.20599999999999</c:v>
                </c:pt>
                <c:pt idx="208">
                  <c:v>242.2139</c:v>
                </c:pt>
                <c:pt idx="209">
                  <c:v>242.2045</c:v>
                </c:pt>
                <c:pt idx="210">
                  <c:v>242.20160000000001</c:v>
                </c:pt>
                <c:pt idx="211">
                  <c:v>242.0421</c:v>
                </c:pt>
                <c:pt idx="212">
                  <c:v>242.0772</c:v>
                </c:pt>
                <c:pt idx="213">
                  <c:v>242.0761</c:v>
                </c:pt>
                <c:pt idx="214">
                  <c:v>242.20269999999999</c:v>
                </c:pt>
                <c:pt idx="215">
                  <c:v>242.29570000000001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53E-A51D-1BD33D820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5328"/>
        <c:axId val="121603888"/>
      </c:areaChart>
      <c:lineChart>
        <c:grouping val="standard"/>
        <c:varyColors val="0"/>
        <c:ser>
          <c:idx val="0"/>
          <c:order val="0"/>
          <c:tx>
            <c:strRef>
              <c:f>仓位序列!$D$1</c:f>
              <c:strCache>
                <c:ptCount val="1"/>
                <c:pt idx="0">
                  <c:v>久期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仓位序列!$A$2:$A$217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仓位序列!$D$2:$D$217</c:f>
              <c:numCache>
                <c:formatCode>#,##0.00</c:formatCode>
                <c:ptCount val="216"/>
                <c:pt idx="0">
                  <c:v>1.1094170000000001</c:v>
                </c:pt>
                <c:pt idx="1">
                  <c:v>1.1001000000000001</c:v>
                </c:pt>
                <c:pt idx="2">
                  <c:v>1.098719</c:v>
                </c:pt>
                <c:pt idx="3">
                  <c:v>1.1054360000000001</c:v>
                </c:pt>
                <c:pt idx="4">
                  <c:v>1.0708709999999999</c:v>
                </c:pt>
                <c:pt idx="5">
                  <c:v>1.0968039999999999</c:v>
                </c:pt>
                <c:pt idx="6">
                  <c:v>1.089224</c:v>
                </c:pt>
                <c:pt idx="7">
                  <c:v>1.083923</c:v>
                </c:pt>
                <c:pt idx="8">
                  <c:v>1.0831869999999999</c:v>
                </c:pt>
                <c:pt idx="9">
                  <c:v>1.0219800000000001</c:v>
                </c:pt>
                <c:pt idx="10">
                  <c:v>1.015873</c:v>
                </c:pt>
                <c:pt idx="11">
                  <c:v>1.017617</c:v>
                </c:pt>
                <c:pt idx="12">
                  <c:v>1.0450839999999999</c:v>
                </c:pt>
                <c:pt idx="13">
                  <c:v>1.0778749999999999</c:v>
                </c:pt>
                <c:pt idx="14">
                  <c:v>1.0830059999999999</c:v>
                </c:pt>
                <c:pt idx="15">
                  <c:v>1.1124989999999999</c:v>
                </c:pt>
                <c:pt idx="16">
                  <c:v>1.107208</c:v>
                </c:pt>
                <c:pt idx="17">
                  <c:v>1.068584</c:v>
                </c:pt>
                <c:pt idx="18">
                  <c:v>1.0479810000000001</c:v>
                </c:pt>
                <c:pt idx="19">
                  <c:v>1.0414330000000001</c:v>
                </c:pt>
                <c:pt idx="20">
                  <c:v>1.0399700000000001</c:v>
                </c:pt>
                <c:pt idx="21">
                  <c:v>1.046673</c:v>
                </c:pt>
                <c:pt idx="22">
                  <c:v>1.0352250000000001</c:v>
                </c:pt>
                <c:pt idx="23">
                  <c:v>1.0382290000000001</c:v>
                </c:pt>
                <c:pt idx="24">
                  <c:v>1.037366</c:v>
                </c:pt>
                <c:pt idx="25">
                  <c:v>1.0325880000000001</c:v>
                </c:pt>
                <c:pt idx="26">
                  <c:v>1.027752</c:v>
                </c:pt>
                <c:pt idx="27">
                  <c:v>1.0269509999999999</c:v>
                </c:pt>
                <c:pt idx="28">
                  <c:v>1.0258149999999999</c:v>
                </c:pt>
                <c:pt idx="29">
                  <c:v>1.0158020000000001</c:v>
                </c:pt>
                <c:pt idx="30">
                  <c:v>1.0115229999999999</c:v>
                </c:pt>
                <c:pt idx="31">
                  <c:v>1.0102260000000001</c:v>
                </c:pt>
                <c:pt idx="32">
                  <c:v>1.008758</c:v>
                </c:pt>
                <c:pt idx="33">
                  <c:v>1.000877</c:v>
                </c:pt>
                <c:pt idx="34">
                  <c:v>0.99124900000000005</c:v>
                </c:pt>
                <c:pt idx="35">
                  <c:v>0.98905200000000004</c:v>
                </c:pt>
                <c:pt idx="36">
                  <c:v>0.969553</c:v>
                </c:pt>
                <c:pt idx="37">
                  <c:v>0.97095500000000001</c:v>
                </c:pt>
                <c:pt idx="38">
                  <c:v>0.96387599999999996</c:v>
                </c:pt>
                <c:pt idx="39">
                  <c:v>0.95910799999999996</c:v>
                </c:pt>
                <c:pt idx="40">
                  <c:v>0.956932</c:v>
                </c:pt>
                <c:pt idx="41">
                  <c:v>0.95594999999999997</c:v>
                </c:pt>
                <c:pt idx="42">
                  <c:v>0.947882</c:v>
                </c:pt>
                <c:pt idx="43">
                  <c:v>1.00926</c:v>
                </c:pt>
                <c:pt idx="44">
                  <c:v>0.99946199999999996</c:v>
                </c:pt>
                <c:pt idx="45">
                  <c:v>0.99922599999999995</c:v>
                </c:pt>
                <c:pt idx="46">
                  <c:v>0.99515299999999995</c:v>
                </c:pt>
                <c:pt idx="47">
                  <c:v>0.99550499999999997</c:v>
                </c:pt>
                <c:pt idx="48">
                  <c:v>0.99355800000000005</c:v>
                </c:pt>
                <c:pt idx="49">
                  <c:v>0.988591</c:v>
                </c:pt>
                <c:pt idx="50">
                  <c:v>0.98830799999999996</c:v>
                </c:pt>
                <c:pt idx="51">
                  <c:v>0.98630600000000002</c:v>
                </c:pt>
                <c:pt idx="52">
                  <c:v>0.98490599999999995</c:v>
                </c:pt>
                <c:pt idx="53">
                  <c:v>0.98466900000000002</c:v>
                </c:pt>
                <c:pt idx="54">
                  <c:v>0.99171699999999996</c:v>
                </c:pt>
                <c:pt idx="55">
                  <c:v>0.97394800000000004</c:v>
                </c:pt>
                <c:pt idx="56">
                  <c:v>0.98356900000000003</c:v>
                </c:pt>
                <c:pt idx="57">
                  <c:v>0.98314400000000002</c:v>
                </c:pt>
                <c:pt idx="58">
                  <c:v>0.98516700000000001</c:v>
                </c:pt>
                <c:pt idx="59">
                  <c:v>0.98896300000000004</c:v>
                </c:pt>
                <c:pt idx="60">
                  <c:v>0.99538599999999999</c:v>
                </c:pt>
                <c:pt idx="61">
                  <c:v>1.006006</c:v>
                </c:pt>
                <c:pt idx="62">
                  <c:v>0.999421</c:v>
                </c:pt>
                <c:pt idx="63">
                  <c:v>0.99982899999999997</c:v>
                </c:pt>
                <c:pt idx="64">
                  <c:v>0.99793799999999999</c:v>
                </c:pt>
                <c:pt idx="65">
                  <c:v>0.99079399999999995</c:v>
                </c:pt>
                <c:pt idx="66">
                  <c:v>0.98838499999999996</c:v>
                </c:pt>
                <c:pt idx="67">
                  <c:v>0.98773</c:v>
                </c:pt>
                <c:pt idx="68">
                  <c:v>1.011646</c:v>
                </c:pt>
                <c:pt idx="69">
                  <c:v>1.001695</c:v>
                </c:pt>
                <c:pt idx="70">
                  <c:v>1.0038180000000001</c:v>
                </c:pt>
                <c:pt idx="71">
                  <c:v>1.0062439999999999</c:v>
                </c:pt>
                <c:pt idx="72">
                  <c:v>1.0049859999999999</c:v>
                </c:pt>
                <c:pt idx="73">
                  <c:v>1.0055000000000001</c:v>
                </c:pt>
                <c:pt idx="74">
                  <c:v>1.0035210000000001</c:v>
                </c:pt>
                <c:pt idx="75">
                  <c:v>1.0031460000000001</c:v>
                </c:pt>
                <c:pt idx="76">
                  <c:v>0.93733900000000003</c:v>
                </c:pt>
                <c:pt idx="77">
                  <c:v>0.93202399999999996</c:v>
                </c:pt>
                <c:pt idx="78">
                  <c:v>0.92932700000000001</c:v>
                </c:pt>
                <c:pt idx="79">
                  <c:v>0.92131099999999999</c:v>
                </c:pt>
                <c:pt idx="80">
                  <c:v>0.91966499999999995</c:v>
                </c:pt>
                <c:pt idx="81">
                  <c:v>0.914331</c:v>
                </c:pt>
                <c:pt idx="82">
                  <c:v>0.85526199999999997</c:v>
                </c:pt>
                <c:pt idx="83">
                  <c:v>0.85107699999999997</c:v>
                </c:pt>
                <c:pt idx="84">
                  <c:v>0.84590299999999996</c:v>
                </c:pt>
                <c:pt idx="85">
                  <c:v>0.82431200000000004</c:v>
                </c:pt>
                <c:pt idx="86">
                  <c:v>0.78468599999999999</c:v>
                </c:pt>
                <c:pt idx="87">
                  <c:v>0.78172600000000003</c:v>
                </c:pt>
                <c:pt idx="88">
                  <c:v>0.67222700000000002</c:v>
                </c:pt>
                <c:pt idx="89">
                  <c:v>0.75001799999999996</c:v>
                </c:pt>
                <c:pt idx="90">
                  <c:v>0.77385800000000005</c:v>
                </c:pt>
                <c:pt idx="91">
                  <c:v>0.69322799999999996</c:v>
                </c:pt>
                <c:pt idx="92">
                  <c:v>0.69288300000000003</c:v>
                </c:pt>
                <c:pt idx="93">
                  <c:v>0.73234999999999995</c:v>
                </c:pt>
                <c:pt idx="94">
                  <c:v>0.64749400000000001</c:v>
                </c:pt>
                <c:pt idx="95">
                  <c:v>0.64637299999999998</c:v>
                </c:pt>
                <c:pt idx="96">
                  <c:v>0.66178300000000001</c:v>
                </c:pt>
                <c:pt idx="97">
                  <c:v>0.66267699999999996</c:v>
                </c:pt>
                <c:pt idx="98">
                  <c:v>0.742815</c:v>
                </c:pt>
                <c:pt idx="99">
                  <c:v>0.73972400000000005</c:v>
                </c:pt>
                <c:pt idx="100">
                  <c:v>0.73778699999999997</c:v>
                </c:pt>
                <c:pt idx="101">
                  <c:v>0.72760800000000003</c:v>
                </c:pt>
                <c:pt idx="102">
                  <c:v>0.72304900000000005</c:v>
                </c:pt>
                <c:pt idx="103">
                  <c:v>0.72020799999999996</c:v>
                </c:pt>
                <c:pt idx="104">
                  <c:v>0.71742399999999995</c:v>
                </c:pt>
                <c:pt idx="105">
                  <c:v>0.713198</c:v>
                </c:pt>
                <c:pt idx="106">
                  <c:v>0.71528899999999995</c:v>
                </c:pt>
                <c:pt idx="107">
                  <c:v>0.59023400000000004</c:v>
                </c:pt>
                <c:pt idx="108">
                  <c:v>0.60465100000000005</c:v>
                </c:pt>
                <c:pt idx="109">
                  <c:v>0.60281300000000004</c:v>
                </c:pt>
                <c:pt idx="110">
                  <c:v>0.74019199999999996</c:v>
                </c:pt>
                <c:pt idx="111">
                  <c:v>0.76668499999999995</c:v>
                </c:pt>
                <c:pt idx="112">
                  <c:v>0.77295899999999995</c:v>
                </c:pt>
                <c:pt idx="113">
                  <c:v>0.80941200000000002</c:v>
                </c:pt>
                <c:pt idx="114">
                  <c:v>0.81106</c:v>
                </c:pt>
                <c:pt idx="115">
                  <c:v>0.79136499999999999</c:v>
                </c:pt>
                <c:pt idx="116">
                  <c:v>0.75746000000000002</c:v>
                </c:pt>
                <c:pt idx="117">
                  <c:v>0.754556</c:v>
                </c:pt>
                <c:pt idx="118">
                  <c:v>0.72174099999999997</c:v>
                </c:pt>
                <c:pt idx="119">
                  <c:v>0.72027799999999997</c:v>
                </c:pt>
                <c:pt idx="120">
                  <c:v>0.72029200000000004</c:v>
                </c:pt>
                <c:pt idx="121">
                  <c:v>0.719638</c:v>
                </c:pt>
                <c:pt idx="122">
                  <c:v>0.71804299999999999</c:v>
                </c:pt>
                <c:pt idx="123">
                  <c:v>0.77607199999999998</c:v>
                </c:pt>
                <c:pt idx="124">
                  <c:v>0.73925600000000002</c:v>
                </c:pt>
                <c:pt idx="125">
                  <c:v>0.74233800000000005</c:v>
                </c:pt>
                <c:pt idx="126">
                  <c:v>0.74070400000000003</c:v>
                </c:pt>
                <c:pt idx="127">
                  <c:v>0.74196700000000004</c:v>
                </c:pt>
                <c:pt idx="128">
                  <c:v>0.73987199999999997</c:v>
                </c:pt>
                <c:pt idx="129">
                  <c:v>0.74201399999999995</c:v>
                </c:pt>
                <c:pt idx="130">
                  <c:v>0.75439900000000004</c:v>
                </c:pt>
                <c:pt idx="131">
                  <c:v>0.79209399999999996</c:v>
                </c:pt>
                <c:pt idx="132">
                  <c:v>0.773648</c:v>
                </c:pt>
                <c:pt idx="133">
                  <c:v>0.82999699999999998</c:v>
                </c:pt>
                <c:pt idx="134">
                  <c:v>0.82824900000000001</c:v>
                </c:pt>
                <c:pt idx="135">
                  <c:v>0.82266600000000001</c:v>
                </c:pt>
                <c:pt idx="136">
                  <c:v>0.81559700000000002</c:v>
                </c:pt>
                <c:pt idx="137">
                  <c:v>0.80427800000000005</c:v>
                </c:pt>
                <c:pt idx="138">
                  <c:v>0.80648799999999998</c:v>
                </c:pt>
                <c:pt idx="139">
                  <c:v>0.794678</c:v>
                </c:pt>
                <c:pt idx="140">
                  <c:v>0.77918699999999996</c:v>
                </c:pt>
                <c:pt idx="141">
                  <c:v>0.78414399999999995</c:v>
                </c:pt>
                <c:pt idx="142">
                  <c:v>0.79054199999999997</c:v>
                </c:pt>
                <c:pt idx="143">
                  <c:v>0.77206799999999998</c:v>
                </c:pt>
                <c:pt idx="144">
                  <c:v>0.76187000000000005</c:v>
                </c:pt>
                <c:pt idx="145">
                  <c:v>0.680724</c:v>
                </c:pt>
                <c:pt idx="146">
                  <c:v>0.68174199999999996</c:v>
                </c:pt>
                <c:pt idx="147">
                  <c:v>0.87531199999999998</c:v>
                </c:pt>
                <c:pt idx="148">
                  <c:v>0.87903299999999995</c:v>
                </c:pt>
                <c:pt idx="149">
                  <c:v>0.88188900000000003</c:v>
                </c:pt>
                <c:pt idx="150">
                  <c:v>0.91203599999999996</c:v>
                </c:pt>
                <c:pt idx="151">
                  <c:v>0.91546799999999995</c:v>
                </c:pt>
                <c:pt idx="152">
                  <c:v>0.93798599999999999</c:v>
                </c:pt>
                <c:pt idx="153">
                  <c:v>0.92990600000000001</c:v>
                </c:pt>
                <c:pt idx="154">
                  <c:v>0.93908599999999998</c:v>
                </c:pt>
                <c:pt idx="155">
                  <c:v>0.958067</c:v>
                </c:pt>
                <c:pt idx="156">
                  <c:v>0.95489999999999997</c:v>
                </c:pt>
                <c:pt idx="157">
                  <c:v>0.96051399999999998</c:v>
                </c:pt>
                <c:pt idx="158">
                  <c:v>0.943519</c:v>
                </c:pt>
                <c:pt idx="159">
                  <c:v>0.93304299999999996</c:v>
                </c:pt>
                <c:pt idx="160">
                  <c:v>0.94816400000000001</c:v>
                </c:pt>
                <c:pt idx="161">
                  <c:v>0.94266799999999995</c:v>
                </c:pt>
                <c:pt idx="162">
                  <c:v>0.95196999999999998</c:v>
                </c:pt>
                <c:pt idx="163">
                  <c:v>0.95421</c:v>
                </c:pt>
                <c:pt idx="164">
                  <c:v>0.953569</c:v>
                </c:pt>
                <c:pt idx="165">
                  <c:v>0.95582400000000001</c:v>
                </c:pt>
                <c:pt idx="166">
                  <c:v>0.959399</c:v>
                </c:pt>
                <c:pt idx="167">
                  <c:v>0.96739799999999998</c:v>
                </c:pt>
                <c:pt idx="168">
                  <c:v>1.0254559999999999</c:v>
                </c:pt>
                <c:pt idx="169">
                  <c:v>1.0766690000000001</c:v>
                </c:pt>
                <c:pt idx="170">
                  <c:v>1.0881449999999999</c:v>
                </c:pt>
                <c:pt idx="171">
                  <c:v>1.0780879999999999</c:v>
                </c:pt>
                <c:pt idx="172">
                  <c:v>1.09361</c:v>
                </c:pt>
                <c:pt idx="173">
                  <c:v>1.0928260000000001</c:v>
                </c:pt>
                <c:pt idx="174">
                  <c:v>1.095601</c:v>
                </c:pt>
                <c:pt idx="175">
                  <c:v>1.079099</c:v>
                </c:pt>
                <c:pt idx="176">
                  <c:v>1.0924929999999999</c:v>
                </c:pt>
                <c:pt idx="177">
                  <c:v>1.0708960000000001</c:v>
                </c:pt>
                <c:pt idx="178">
                  <c:v>1.0927100000000001</c:v>
                </c:pt>
                <c:pt idx="179">
                  <c:v>1.072152</c:v>
                </c:pt>
                <c:pt idx="180">
                  <c:v>1.0676399999999999</c:v>
                </c:pt>
                <c:pt idx="181">
                  <c:v>1.043018</c:v>
                </c:pt>
                <c:pt idx="182">
                  <c:v>1.0654570000000001</c:v>
                </c:pt>
                <c:pt idx="183">
                  <c:v>1.123999</c:v>
                </c:pt>
                <c:pt idx="184">
                  <c:v>1.1047819999999999</c:v>
                </c:pt>
                <c:pt idx="185">
                  <c:v>1.1410009999999999</c:v>
                </c:pt>
                <c:pt idx="186">
                  <c:v>1.084457</c:v>
                </c:pt>
                <c:pt idx="187">
                  <c:v>1.110249</c:v>
                </c:pt>
                <c:pt idx="188">
                  <c:v>1.141613</c:v>
                </c:pt>
                <c:pt idx="189">
                  <c:v>1.162215</c:v>
                </c:pt>
                <c:pt idx="190">
                  <c:v>1.191708</c:v>
                </c:pt>
                <c:pt idx="191">
                  <c:v>1.2008559999999999</c:v>
                </c:pt>
                <c:pt idx="192">
                  <c:v>1.218683</c:v>
                </c:pt>
                <c:pt idx="193">
                  <c:v>1.2361059999999999</c:v>
                </c:pt>
                <c:pt idx="194">
                  <c:v>1.2604580000000001</c:v>
                </c:pt>
                <c:pt idx="195">
                  <c:v>1.21418</c:v>
                </c:pt>
                <c:pt idx="196">
                  <c:v>1.2276069999999999</c:v>
                </c:pt>
                <c:pt idx="197">
                  <c:v>1.25553</c:v>
                </c:pt>
                <c:pt idx="198">
                  <c:v>1.278667</c:v>
                </c:pt>
                <c:pt idx="199">
                  <c:v>1.2532369999999999</c:v>
                </c:pt>
                <c:pt idx="200">
                  <c:v>1.249452</c:v>
                </c:pt>
                <c:pt idx="201">
                  <c:v>0.56032700000000002</c:v>
                </c:pt>
                <c:pt idx="202">
                  <c:v>0.55757900000000005</c:v>
                </c:pt>
                <c:pt idx="203">
                  <c:v>0.56175399999999998</c:v>
                </c:pt>
                <c:pt idx="204">
                  <c:v>0.51230100000000001</c:v>
                </c:pt>
                <c:pt idx="205">
                  <c:v>0.51395999999999997</c:v>
                </c:pt>
                <c:pt idx="206">
                  <c:v>0.567685</c:v>
                </c:pt>
                <c:pt idx="207">
                  <c:v>0.59148299999999998</c:v>
                </c:pt>
                <c:pt idx="208">
                  <c:v>0.58792800000000001</c:v>
                </c:pt>
                <c:pt idx="209">
                  <c:v>0.58873500000000001</c:v>
                </c:pt>
                <c:pt idx="210">
                  <c:v>0.58762000000000003</c:v>
                </c:pt>
                <c:pt idx="211">
                  <c:v>0.58664099999999997</c:v>
                </c:pt>
                <c:pt idx="212">
                  <c:v>0.54118999999999995</c:v>
                </c:pt>
                <c:pt idx="213">
                  <c:v>0.54178300000000001</c:v>
                </c:pt>
                <c:pt idx="214">
                  <c:v>0.54342000000000001</c:v>
                </c:pt>
                <c:pt idx="215">
                  <c:v>0.589669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0-453E-A51D-1BD33D820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748143"/>
        <c:axId val="792749103"/>
      </c:lineChart>
      <c:dateAx>
        <c:axId val="792748143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9103"/>
        <c:crosses val="autoZero"/>
        <c:auto val="1"/>
        <c:lblOffset val="100"/>
        <c:baseTimeUnit val="days"/>
      </c:dateAx>
      <c:valAx>
        <c:axId val="7927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8143"/>
        <c:crosses val="autoZero"/>
        <c:crossBetween val="between"/>
      </c:valAx>
      <c:valAx>
        <c:axId val="121603888"/>
        <c:scaling>
          <c:orientation val="minMax"/>
          <c:min val="23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1605328"/>
        <c:crosses val="max"/>
        <c:crossBetween val="between"/>
      </c:valAx>
      <c:dateAx>
        <c:axId val="121605328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crossAx val="1216038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产品序列</a:t>
            </a:r>
            <a:endParaRPr 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产品序列!$B$1</c:f>
              <c:strCache>
                <c:ptCount val="1"/>
                <c:pt idx="0">
                  <c:v>权益产品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产品序列!$A$2:$A$217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产品序列!$B$2:$B$217</c:f>
              <c:numCache>
                <c:formatCode>0.00%</c:formatCode>
                <c:ptCount val="216"/>
                <c:pt idx="0">
                  <c:v>0.109708</c:v>
                </c:pt>
                <c:pt idx="1">
                  <c:v>0.11035399999999999</c:v>
                </c:pt>
                <c:pt idx="2">
                  <c:v>0.111734</c:v>
                </c:pt>
                <c:pt idx="3">
                  <c:v>0.11276700000000001</c:v>
                </c:pt>
                <c:pt idx="4">
                  <c:v>0.11486200000000001</c:v>
                </c:pt>
                <c:pt idx="5">
                  <c:v>0.11003499999999999</c:v>
                </c:pt>
                <c:pt idx="6">
                  <c:v>0.115749</c:v>
                </c:pt>
                <c:pt idx="7">
                  <c:v>0.114744</c:v>
                </c:pt>
                <c:pt idx="8">
                  <c:v>0.114895</c:v>
                </c:pt>
                <c:pt idx="9">
                  <c:v>0.115533</c:v>
                </c:pt>
                <c:pt idx="10">
                  <c:v>0.11586399999999999</c:v>
                </c:pt>
                <c:pt idx="11">
                  <c:v>0.11617</c:v>
                </c:pt>
                <c:pt idx="12">
                  <c:v>0.11522399999999999</c:v>
                </c:pt>
                <c:pt idx="13">
                  <c:v>0.114343</c:v>
                </c:pt>
                <c:pt idx="14">
                  <c:v>0.11677700000000001</c:v>
                </c:pt>
                <c:pt idx="15">
                  <c:v>0.11083999999999999</c:v>
                </c:pt>
                <c:pt idx="16">
                  <c:v>0.111501</c:v>
                </c:pt>
                <c:pt idx="17">
                  <c:v>0.116729</c:v>
                </c:pt>
                <c:pt idx="18">
                  <c:v>0.120659</c:v>
                </c:pt>
                <c:pt idx="19">
                  <c:v>0.122753</c:v>
                </c:pt>
                <c:pt idx="20">
                  <c:v>0.12300800000000001</c:v>
                </c:pt>
                <c:pt idx="21">
                  <c:v>0.121492</c:v>
                </c:pt>
                <c:pt idx="22">
                  <c:v>0.121778</c:v>
                </c:pt>
                <c:pt idx="23">
                  <c:v>0.12114800000000001</c:v>
                </c:pt>
                <c:pt idx="24">
                  <c:v>0.121338</c:v>
                </c:pt>
                <c:pt idx="25">
                  <c:v>0.122099</c:v>
                </c:pt>
                <c:pt idx="26">
                  <c:v>9.3340999999999993E-2</c:v>
                </c:pt>
                <c:pt idx="27">
                  <c:v>5.9898E-2</c:v>
                </c:pt>
                <c:pt idx="28">
                  <c:v>5.9150000000000001E-2</c:v>
                </c:pt>
                <c:pt idx="29">
                  <c:v>6.0401000000000003E-2</c:v>
                </c:pt>
                <c:pt idx="30">
                  <c:v>6.0398E-2</c:v>
                </c:pt>
                <c:pt idx="31">
                  <c:v>6.8353999999999998E-2</c:v>
                </c:pt>
                <c:pt idx="32">
                  <c:v>6.9181999999999994E-2</c:v>
                </c:pt>
                <c:pt idx="33">
                  <c:v>6.9608000000000003E-2</c:v>
                </c:pt>
                <c:pt idx="34">
                  <c:v>6.7333000000000004E-2</c:v>
                </c:pt>
                <c:pt idx="35">
                  <c:v>6.7517999999999995E-2</c:v>
                </c:pt>
                <c:pt idx="36">
                  <c:v>6.6833000000000004E-2</c:v>
                </c:pt>
                <c:pt idx="37">
                  <c:v>6.7483000000000001E-2</c:v>
                </c:pt>
                <c:pt idx="38">
                  <c:v>6.7303000000000002E-2</c:v>
                </c:pt>
                <c:pt idx="39">
                  <c:v>6.7933999999999994E-2</c:v>
                </c:pt>
                <c:pt idx="40">
                  <c:v>6.8475999999999995E-2</c:v>
                </c:pt>
                <c:pt idx="41">
                  <c:v>6.8530999999999995E-2</c:v>
                </c:pt>
                <c:pt idx="42">
                  <c:v>6.9184999999999997E-2</c:v>
                </c:pt>
                <c:pt idx="43">
                  <c:v>7.2026999999999994E-2</c:v>
                </c:pt>
                <c:pt idx="44">
                  <c:v>7.1584999999999996E-2</c:v>
                </c:pt>
                <c:pt idx="45">
                  <c:v>7.0446999999999996E-2</c:v>
                </c:pt>
                <c:pt idx="46">
                  <c:v>7.0354E-2</c:v>
                </c:pt>
                <c:pt idx="47">
                  <c:v>6.9373000000000004E-2</c:v>
                </c:pt>
                <c:pt idx="48">
                  <c:v>7.0013000000000006E-2</c:v>
                </c:pt>
                <c:pt idx="49">
                  <c:v>6.9592000000000001E-2</c:v>
                </c:pt>
                <c:pt idx="50">
                  <c:v>6.9246000000000002E-2</c:v>
                </c:pt>
                <c:pt idx="51">
                  <c:v>7.0044999999999996E-2</c:v>
                </c:pt>
                <c:pt idx="52">
                  <c:v>7.0017999999999997E-2</c:v>
                </c:pt>
                <c:pt idx="53">
                  <c:v>6.9504999999999997E-2</c:v>
                </c:pt>
                <c:pt idx="54">
                  <c:v>6.9776000000000005E-2</c:v>
                </c:pt>
                <c:pt idx="55">
                  <c:v>7.0078000000000001E-2</c:v>
                </c:pt>
                <c:pt idx="56">
                  <c:v>7.0657999999999999E-2</c:v>
                </c:pt>
                <c:pt idx="57">
                  <c:v>6.9906999999999997E-2</c:v>
                </c:pt>
                <c:pt idx="58">
                  <c:v>7.1123000000000006E-2</c:v>
                </c:pt>
                <c:pt idx="59">
                  <c:v>7.1006E-2</c:v>
                </c:pt>
                <c:pt idx="60">
                  <c:v>7.0812E-2</c:v>
                </c:pt>
                <c:pt idx="61">
                  <c:v>7.0557999999999996E-2</c:v>
                </c:pt>
                <c:pt idx="62">
                  <c:v>6.8694000000000005E-2</c:v>
                </c:pt>
                <c:pt idx="63">
                  <c:v>6.8292000000000005E-2</c:v>
                </c:pt>
                <c:pt idx="64">
                  <c:v>6.8364999999999995E-2</c:v>
                </c:pt>
                <c:pt idx="65">
                  <c:v>6.8886000000000003E-2</c:v>
                </c:pt>
                <c:pt idx="66">
                  <c:v>6.8631999999999999E-2</c:v>
                </c:pt>
                <c:pt idx="67">
                  <c:v>7.6096999999999998E-2</c:v>
                </c:pt>
                <c:pt idx="68">
                  <c:v>6.9334999999999994E-2</c:v>
                </c:pt>
                <c:pt idx="69">
                  <c:v>7.7066999999999997E-2</c:v>
                </c:pt>
                <c:pt idx="70">
                  <c:v>7.7078999999999995E-2</c:v>
                </c:pt>
                <c:pt idx="71">
                  <c:v>7.8058000000000002E-2</c:v>
                </c:pt>
                <c:pt idx="72">
                  <c:v>7.6078999999999994E-2</c:v>
                </c:pt>
                <c:pt idx="73">
                  <c:v>7.4795E-2</c:v>
                </c:pt>
                <c:pt idx="74">
                  <c:v>8.6352999999999999E-2</c:v>
                </c:pt>
                <c:pt idx="75">
                  <c:v>9.5771999999999996E-2</c:v>
                </c:pt>
                <c:pt idx="76">
                  <c:v>8.8081000000000007E-2</c:v>
                </c:pt>
                <c:pt idx="77">
                  <c:v>8.9562000000000003E-2</c:v>
                </c:pt>
                <c:pt idx="78">
                  <c:v>9.0823000000000001E-2</c:v>
                </c:pt>
                <c:pt idx="79">
                  <c:v>9.0576000000000004E-2</c:v>
                </c:pt>
                <c:pt idx="80">
                  <c:v>9.1009000000000007E-2</c:v>
                </c:pt>
                <c:pt idx="81">
                  <c:v>9.1906000000000002E-2</c:v>
                </c:pt>
                <c:pt idx="82">
                  <c:v>9.2649999999999996E-2</c:v>
                </c:pt>
                <c:pt idx="83">
                  <c:v>9.4874E-2</c:v>
                </c:pt>
                <c:pt idx="84">
                  <c:v>0.12587400000000001</c:v>
                </c:pt>
                <c:pt idx="85">
                  <c:v>0.14774399999999999</c:v>
                </c:pt>
                <c:pt idx="86">
                  <c:v>0.164966</c:v>
                </c:pt>
                <c:pt idx="87">
                  <c:v>0.16316</c:v>
                </c:pt>
                <c:pt idx="88">
                  <c:v>0.166106</c:v>
                </c:pt>
                <c:pt idx="89">
                  <c:v>0.170319</c:v>
                </c:pt>
                <c:pt idx="90">
                  <c:v>0.17025199999999999</c:v>
                </c:pt>
                <c:pt idx="91">
                  <c:v>0.16944400000000001</c:v>
                </c:pt>
                <c:pt idx="92">
                  <c:v>0.16684199999999999</c:v>
                </c:pt>
                <c:pt idx="93">
                  <c:v>0.157971</c:v>
                </c:pt>
                <c:pt idx="94">
                  <c:v>0.16173499999999999</c:v>
                </c:pt>
                <c:pt idx="95">
                  <c:v>0.164995</c:v>
                </c:pt>
                <c:pt idx="96">
                  <c:v>0.165995</c:v>
                </c:pt>
                <c:pt idx="97">
                  <c:v>0.16251199999999999</c:v>
                </c:pt>
                <c:pt idx="98">
                  <c:v>0.16330600000000001</c:v>
                </c:pt>
                <c:pt idx="99">
                  <c:v>0.16156999999999999</c:v>
                </c:pt>
                <c:pt idx="100">
                  <c:v>0.162795</c:v>
                </c:pt>
                <c:pt idx="101">
                  <c:v>0.162021</c:v>
                </c:pt>
                <c:pt idx="102">
                  <c:v>0.16341900000000001</c:v>
                </c:pt>
                <c:pt idx="103">
                  <c:v>0.19314999999999999</c:v>
                </c:pt>
                <c:pt idx="104">
                  <c:v>0.19025800000000001</c:v>
                </c:pt>
                <c:pt idx="105">
                  <c:v>0.20047100000000001</c:v>
                </c:pt>
                <c:pt idx="106">
                  <c:v>0.20003499999999999</c:v>
                </c:pt>
                <c:pt idx="107">
                  <c:v>0.167569</c:v>
                </c:pt>
                <c:pt idx="108">
                  <c:v>0.166912</c:v>
                </c:pt>
                <c:pt idx="109">
                  <c:v>0.16924</c:v>
                </c:pt>
                <c:pt idx="110">
                  <c:v>0.17347899999999999</c:v>
                </c:pt>
                <c:pt idx="111">
                  <c:v>0.17391699999999999</c:v>
                </c:pt>
                <c:pt idx="112">
                  <c:v>0.17320199999999999</c:v>
                </c:pt>
                <c:pt idx="113">
                  <c:v>0.17178099999999999</c:v>
                </c:pt>
                <c:pt idx="114">
                  <c:v>0.17203299999999999</c:v>
                </c:pt>
                <c:pt idx="115">
                  <c:v>0.16658000000000001</c:v>
                </c:pt>
                <c:pt idx="116">
                  <c:v>0.16595799999999999</c:v>
                </c:pt>
                <c:pt idx="117">
                  <c:v>0.17033200000000001</c:v>
                </c:pt>
                <c:pt idx="118">
                  <c:v>0.174707</c:v>
                </c:pt>
                <c:pt idx="119">
                  <c:v>0.17419399999999999</c:v>
                </c:pt>
                <c:pt idx="120">
                  <c:v>0.17272499999999999</c:v>
                </c:pt>
                <c:pt idx="121">
                  <c:v>0.172318</c:v>
                </c:pt>
                <c:pt idx="122">
                  <c:v>0.17252799999999999</c:v>
                </c:pt>
                <c:pt idx="123">
                  <c:v>0.17307800000000001</c:v>
                </c:pt>
                <c:pt idx="124">
                  <c:v>0.17494199999999999</c:v>
                </c:pt>
                <c:pt idx="125">
                  <c:v>0.17066400000000001</c:v>
                </c:pt>
                <c:pt idx="126">
                  <c:v>0.17231099999999999</c:v>
                </c:pt>
                <c:pt idx="127">
                  <c:v>0.168017</c:v>
                </c:pt>
                <c:pt idx="128">
                  <c:v>0.16775899999999999</c:v>
                </c:pt>
                <c:pt idx="129">
                  <c:v>0.16747999999999999</c:v>
                </c:pt>
                <c:pt idx="130">
                  <c:v>0.16624900000000001</c:v>
                </c:pt>
                <c:pt idx="131">
                  <c:v>0.170407</c:v>
                </c:pt>
                <c:pt idx="132">
                  <c:v>0.17288400000000001</c:v>
                </c:pt>
                <c:pt idx="133">
                  <c:v>0.17096800000000001</c:v>
                </c:pt>
                <c:pt idx="134">
                  <c:v>0.169624</c:v>
                </c:pt>
                <c:pt idx="135">
                  <c:v>0.17555999999999999</c:v>
                </c:pt>
                <c:pt idx="136">
                  <c:v>0.17424300000000001</c:v>
                </c:pt>
                <c:pt idx="137">
                  <c:v>0.174572</c:v>
                </c:pt>
                <c:pt idx="138">
                  <c:v>0.17546500000000001</c:v>
                </c:pt>
                <c:pt idx="139">
                  <c:v>0.173429</c:v>
                </c:pt>
                <c:pt idx="140">
                  <c:v>0.17527799999999999</c:v>
                </c:pt>
                <c:pt idx="141">
                  <c:v>0.174787</c:v>
                </c:pt>
                <c:pt idx="142">
                  <c:v>0.17294799999999999</c:v>
                </c:pt>
                <c:pt idx="143">
                  <c:v>0.16530500000000001</c:v>
                </c:pt>
                <c:pt idx="144">
                  <c:v>0.16342300000000001</c:v>
                </c:pt>
                <c:pt idx="145">
                  <c:v>0.147594</c:v>
                </c:pt>
                <c:pt idx="146">
                  <c:v>0.147011</c:v>
                </c:pt>
                <c:pt idx="147">
                  <c:v>0.15542900000000001</c:v>
                </c:pt>
                <c:pt idx="148">
                  <c:v>0.156087</c:v>
                </c:pt>
                <c:pt idx="149">
                  <c:v>0.15632799999999999</c:v>
                </c:pt>
                <c:pt idx="150">
                  <c:v>0.155559</c:v>
                </c:pt>
                <c:pt idx="151">
                  <c:v>0.15762399999999999</c:v>
                </c:pt>
                <c:pt idx="152">
                  <c:v>0.15749199999999999</c:v>
                </c:pt>
                <c:pt idx="153">
                  <c:v>0.161493</c:v>
                </c:pt>
                <c:pt idx="154">
                  <c:v>0.158191</c:v>
                </c:pt>
                <c:pt idx="155">
                  <c:v>0.15420400000000001</c:v>
                </c:pt>
                <c:pt idx="156">
                  <c:v>0.15453</c:v>
                </c:pt>
                <c:pt idx="157">
                  <c:v>0.15445900000000001</c:v>
                </c:pt>
                <c:pt idx="158">
                  <c:v>0.15431900000000001</c:v>
                </c:pt>
                <c:pt idx="159">
                  <c:v>0.15420700000000001</c:v>
                </c:pt>
                <c:pt idx="160">
                  <c:v>0.15387700000000001</c:v>
                </c:pt>
                <c:pt idx="161">
                  <c:v>0.15249399999999999</c:v>
                </c:pt>
                <c:pt idx="162">
                  <c:v>0.15417700000000001</c:v>
                </c:pt>
                <c:pt idx="163">
                  <c:v>0.153754</c:v>
                </c:pt>
                <c:pt idx="164">
                  <c:v>0.15265100000000001</c:v>
                </c:pt>
                <c:pt idx="165">
                  <c:v>0.15201999999999999</c:v>
                </c:pt>
                <c:pt idx="166">
                  <c:v>0.15185699999999999</c:v>
                </c:pt>
                <c:pt idx="167">
                  <c:v>0.15060699999999999</c:v>
                </c:pt>
                <c:pt idx="168">
                  <c:v>0.150116</c:v>
                </c:pt>
                <c:pt idx="169">
                  <c:v>0.15093300000000001</c:v>
                </c:pt>
                <c:pt idx="170">
                  <c:v>0.146259</c:v>
                </c:pt>
                <c:pt idx="171">
                  <c:v>0.14643700000000001</c:v>
                </c:pt>
                <c:pt idx="172">
                  <c:v>0.14476900000000001</c:v>
                </c:pt>
                <c:pt idx="173">
                  <c:v>0.14532600000000001</c:v>
                </c:pt>
                <c:pt idx="174">
                  <c:v>0.14698</c:v>
                </c:pt>
                <c:pt idx="175">
                  <c:v>0.14846599999999999</c:v>
                </c:pt>
                <c:pt idx="176">
                  <c:v>0.14912300000000001</c:v>
                </c:pt>
                <c:pt idx="177">
                  <c:v>0.15628800000000001</c:v>
                </c:pt>
                <c:pt idx="178">
                  <c:v>0.15683900000000001</c:v>
                </c:pt>
                <c:pt idx="179">
                  <c:v>0.161796</c:v>
                </c:pt>
                <c:pt idx="180">
                  <c:v>0.16420999999999999</c:v>
                </c:pt>
                <c:pt idx="181">
                  <c:v>0.17561399999999999</c:v>
                </c:pt>
                <c:pt idx="182">
                  <c:v>0.177677</c:v>
                </c:pt>
                <c:pt idx="183">
                  <c:v>0.16428100000000001</c:v>
                </c:pt>
                <c:pt idx="184">
                  <c:v>0.167517</c:v>
                </c:pt>
                <c:pt idx="185">
                  <c:v>0.16566800000000001</c:v>
                </c:pt>
                <c:pt idx="186">
                  <c:v>0.17036899999999999</c:v>
                </c:pt>
                <c:pt idx="187">
                  <c:v>0.185445</c:v>
                </c:pt>
                <c:pt idx="188">
                  <c:v>0.204258</c:v>
                </c:pt>
                <c:pt idx="189">
                  <c:v>0.20088600000000001</c:v>
                </c:pt>
                <c:pt idx="190">
                  <c:v>0.203037</c:v>
                </c:pt>
                <c:pt idx="191">
                  <c:v>0.20303299999999999</c:v>
                </c:pt>
                <c:pt idx="192">
                  <c:v>0.20410300000000001</c:v>
                </c:pt>
                <c:pt idx="193">
                  <c:v>0.20619000000000001</c:v>
                </c:pt>
                <c:pt idx="194">
                  <c:v>0.20504500000000001</c:v>
                </c:pt>
                <c:pt idx="195">
                  <c:v>0.19853699999999999</c:v>
                </c:pt>
                <c:pt idx="196">
                  <c:v>0.19867899999999999</c:v>
                </c:pt>
                <c:pt idx="197">
                  <c:v>0.197266</c:v>
                </c:pt>
                <c:pt idx="198">
                  <c:v>0.19573499999999999</c:v>
                </c:pt>
                <c:pt idx="199">
                  <c:v>0.19534299999999999</c:v>
                </c:pt>
                <c:pt idx="200">
                  <c:v>0.19747700000000001</c:v>
                </c:pt>
                <c:pt idx="201">
                  <c:v>0.19659699999999999</c:v>
                </c:pt>
                <c:pt idx="202">
                  <c:v>0.20038600000000001</c:v>
                </c:pt>
                <c:pt idx="203">
                  <c:v>0.19939000000000001</c:v>
                </c:pt>
                <c:pt idx="204">
                  <c:v>0.20266899999999999</c:v>
                </c:pt>
                <c:pt idx="205">
                  <c:v>0.19955400000000001</c:v>
                </c:pt>
                <c:pt idx="206">
                  <c:v>0.19760900000000001</c:v>
                </c:pt>
                <c:pt idx="207">
                  <c:v>0.195852</c:v>
                </c:pt>
                <c:pt idx="208">
                  <c:v>0.19674900000000001</c:v>
                </c:pt>
                <c:pt idx="209">
                  <c:v>0.19438</c:v>
                </c:pt>
                <c:pt idx="210">
                  <c:v>0.19375300000000001</c:v>
                </c:pt>
                <c:pt idx="211">
                  <c:v>0.19697799999999999</c:v>
                </c:pt>
                <c:pt idx="212">
                  <c:v>0.199325</c:v>
                </c:pt>
                <c:pt idx="213">
                  <c:v>0.20055899999999999</c:v>
                </c:pt>
                <c:pt idx="214">
                  <c:v>0.20025699999999999</c:v>
                </c:pt>
                <c:pt idx="215">
                  <c:v>0.19653999999999999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3-491D-B961-BFF0E6985F97}"/>
            </c:ext>
          </c:extLst>
        </c:ser>
        <c:ser>
          <c:idx val="1"/>
          <c:order val="1"/>
          <c:tx>
            <c:strRef>
              <c:f>产品序列!$C$1</c:f>
              <c:strCache>
                <c:ptCount val="1"/>
                <c:pt idx="0">
                  <c:v>固收产品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产品序列!$A$2:$A$217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产品序列!$C$2:$C$217</c:f>
              <c:numCache>
                <c:formatCode>0%</c:formatCode>
                <c:ptCount val="216"/>
                <c:pt idx="0">
                  <c:v>0.32912399999999997</c:v>
                </c:pt>
                <c:pt idx="1">
                  <c:v>0.33106199999999997</c:v>
                </c:pt>
                <c:pt idx="2">
                  <c:v>0.335202</c:v>
                </c:pt>
                <c:pt idx="3">
                  <c:v>0.33830100000000002</c:v>
                </c:pt>
                <c:pt idx="4">
                  <c:v>0.344586</c:v>
                </c:pt>
                <c:pt idx="5">
                  <c:v>0.33010499999999998</c:v>
                </c:pt>
                <c:pt idx="6">
                  <c:v>0.34724700000000003</c:v>
                </c:pt>
                <c:pt idx="7">
                  <c:v>0.34423199999999998</c:v>
                </c:pt>
                <c:pt idx="8">
                  <c:v>0.34468500000000002</c:v>
                </c:pt>
                <c:pt idx="9">
                  <c:v>0.34659899999999999</c:v>
                </c:pt>
                <c:pt idx="10">
                  <c:v>0.34759200000000001</c:v>
                </c:pt>
                <c:pt idx="11">
                  <c:v>0.34850999999999999</c:v>
                </c:pt>
                <c:pt idx="12">
                  <c:v>0.34567199999999998</c:v>
                </c:pt>
                <c:pt idx="13">
                  <c:v>0.34302900000000003</c:v>
                </c:pt>
                <c:pt idx="14">
                  <c:v>0.350331</c:v>
                </c:pt>
                <c:pt idx="15">
                  <c:v>0.33251999999999998</c:v>
                </c:pt>
                <c:pt idx="16">
                  <c:v>0.33450299999999999</c:v>
                </c:pt>
                <c:pt idx="17">
                  <c:v>0.35018700000000003</c:v>
                </c:pt>
                <c:pt idx="18">
                  <c:v>0.36197699999999999</c:v>
                </c:pt>
                <c:pt idx="19">
                  <c:v>0.368259</c:v>
                </c:pt>
                <c:pt idx="20">
                  <c:v>0.36902400000000002</c:v>
                </c:pt>
                <c:pt idx="21">
                  <c:v>0.36447600000000002</c:v>
                </c:pt>
                <c:pt idx="22">
                  <c:v>0.36533399999999999</c:v>
                </c:pt>
                <c:pt idx="23">
                  <c:v>0.36344399999999999</c:v>
                </c:pt>
                <c:pt idx="24">
                  <c:v>0.364014</c:v>
                </c:pt>
                <c:pt idx="25">
                  <c:v>0.36629699999999998</c:v>
                </c:pt>
                <c:pt idx="26">
                  <c:v>0.28002299999999997</c:v>
                </c:pt>
                <c:pt idx="27">
                  <c:v>0.17969399999999999</c:v>
                </c:pt>
                <c:pt idx="28">
                  <c:v>0.17745</c:v>
                </c:pt>
                <c:pt idx="29">
                  <c:v>0.181203</c:v>
                </c:pt>
                <c:pt idx="30">
                  <c:v>0.18119399999999999</c:v>
                </c:pt>
                <c:pt idx="31">
                  <c:v>0.20506199999999999</c:v>
                </c:pt>
                <c:pt idx="32">
                  <c:v>0.20754599999999998</c:v>
                </c:pt>
                <c:pt idx="33">
                  <c:v>0.20882400000000001</c:v>
                </c:pt>
                <c:pt idx="34">
                  <c:v>0.20199900000000001</c:v>
                </c:pt>
                <c:pt idx="35">
                  <c:v>0.20255399999999998</c:v>
                </c:pt>
                <c:pt idx="36">
                  <c:v>0.20049900000000001</c:v>
                </c:pt>
                <c:pt idx="37">
                  <c:v>0.20244899999999999</c:v>
                </c:pt>
                <c:pt idx="38">
                  <c:v>0.20190900000000001</c:v>
                </c:pt>
                <c:pt idx="39">
                  <c:v>0.20380199999999998</c:v>
                </c:pt>
                <c:pt idx="40">
                  <c:v>0.205428</c:v>
                </c:pt>
                <c:pt idx="41">
                  <c:v>0.20559299999999997</c:v>
                </c:pt>
                <c:pt idx="42">
                  <c:v>0.20755499999999999</c:v>
                </c:pt>
                <c:pt idx="43">
                  <c:v>0.21608099999999997</c:v>
                </c:pt>
                <c:pt idx="44">
                  <c:v>0.21475499999999997</c:v>
                </c:pt>
                <c:pt idx="45">
                  <c:v>0.211341</c:v>
                </c:pt>
                <c:pt idx="46">
                  <c:v>0.211062</c:v>
                </c:pt>
                <c:pt idx="47">
                  <c:v>0.208119</c:v>
                </c:pt>
                <c:pt idx="48">
                  <c:v>0.21003900000000003</c:v>
                </c:pt>
                <c:pt idx="49">
                  <c:v>0.20877600000000002</c:v>
                </c:pt>
                <c:pt idx="50">
                  <c:v>0.20773800000000001</c:v>
                </c:pt>
                <c:pt idx="51">
                  <c:v>0.21013499999999999</c:v>
                </c:pt>
                <c:pt idx="52">
                  <c:v>0.21005399999999999</c:v>
                </c:pt>
                <c:pt idx="53">
                  <c:v>0.20851500000000001</c:v>
                </c:pt>
                <c:pt idx="54">
                  <c:v>0.20932800000000001</c:v>
                </c:pt>
                <c:pt idx="55">
                  <c:v>0.210234</c:v>
                </c:pt>
                <c:pt idx="56">
                  <c:v>0.211974</c:v>
                </c:pt>
                <c:pt idx="57">
                  <c:v>0.20972099999999999</c:v>
                </c:pt>
                <c:pt idx="58">
                  <c:v>0.21336900000000003</c:v>
                </c:pt>
                <c:pt idx="59">
                  <c:v>0.21301799999999999</c:v>
                </c:pt>
                <c:pt idx="60">
                  <c:v>0.21243600000000001</c:v>
                </c:pt>
                <c:pt idx="61">
                  <c:v>0.21167399999999997</c:v>
                </c:pt>
                <c:pt idx="62">
                  <c:v>0.20608200000000002</c:v>
                </c:pt>
                <c:pt idx="63">
                  <c:v>0.204876</c:v>
                </c:pt>
                <c:pt idx="64">
                  <c:v>0.20509499999999997</c:v>
                </c:pt>
                <c:pt idx="65">
                  <c:v>0.20665800000000001</c:v>
                </c:pt>
                <c:pt idx="66">
                  <c:v>0.205896</c:v>
                </c:pt>
                <c:pt idx="67">
                  <c:v>0.22829099999999999</c:v>
                </c:pt>
                <c:pt idx="68">
                  <c:v>0.208005</c:v>
                </c:pt>
                <c:pt idx="69">
                  <c:v>0.23120099999999999</c:v>
                </c:pt>
                <c:pt idx="70">
                  <c:v>0.23123699999999997</c:v>
                </c:pt>
                <c:pt idx="71">
                  <c:v>0.23417399999999999</c:v>
                </c:pt>
                <c:pt idx="72">
                  <c:v>0.22823699999999997</c:v>
                </c:pt>
                <c:pt idx="73">
                  <c:v>0.224385</c:v>
                </c:pt>
                <c:pt idx="74">
                  <c:v>0.25905899999999998</c:v>
                </c:pt>
                <c:pt idx="75">
                  <c:v>0.28731600000000002</c:v>
                </c:pt>
                <c:pt idx="76">
                  <c:v>0.26424300000000001</c:v>
                </c:pt>
                <c:pt idx="77">
                  <c:v>0.26868599999999998</c:v>
                </c:pt>
                <c:pt idx="78">
                  <c:v>0.27246900000000002</c:v>
                </c:pt>
                <c:pt idx="79">
                  <c:v>0.27172800000000003</c:v>
                </c:pt>
                <c:pt idx="80">
                  <c:v>0.27302700000000002</c:v>
                </c:pt>
                <c:pt idx="81">
                  <c:v>0.27571800000000002</c:v>
                </c:pt>
                <c:pt idx="82">
                  <c:v>0.27794999999999997</c:v>
                </c:pt>
                <c:pt idx="83">
                  <c:v>0.28462199999999999</c:v>
                </c:pt>
                <c:pt idx="84">
                  <c:v>0.37762200000000001</c:v>
                </c:pt>
                <c:pt idx="85">
                  <c:v>0.44323199999999996</c:v>
                </c:pt>
                <c:pt idx="86">
                  <c:v>0.494898</c:v>
                </c:pt>
                <c:pt idx="87">
                  <c:v>0.48948000000000003</c:v>
                </c:pt>
                <c:pt idx="88">
                  <c:v>0.49831800000000004</c:v>
                </c:pt>
                <c:pt idx="89">
                  <c:v>0.51095699999999999</c:v>
                </c:pt>
                <c:pt idx="90">
                  <c:v>0.51075599999999999</c:v>
                </c:pt>
                <c:pt idx="91">
                  <c:v>0.50833200000000001</c:v>
                </c:pt>
                <c:pt idx="92">
                  <c:v>0.50052600000000003</c:v>
                </c:pt>
                <c:pt idx="93">
                  <c:v>0.47391300000000003</c:v>
                </c:pt>
                <c:pt idx="94">
                  <c:v>0.485205</c:v>
                </c:pt>
                <c:pt idx="95">
                  <c:v>0.49498500000000001</c:v>
                </c:pt>
                <c:pt idx="96">
                  <c:v>0.49798500000000001</c:v>
                </c:pt>
                <c:pt idx="97">
                  <c:v>0.48753599999999997</c:v>
                </c:pt>
                <c:pt idx="98">
                  <c:v>0.48991800000000002</c:v>
                </c:pt>
                <c:pt idx="99">
                  <c:v>0.48470999999999997</c:v>
                </c:pt>
                <c:pt idx="100">
                  <c:v>0.48838499999999996</c:v>
                </c:pt>
                <c:pt idx="101">
                  <c:v>0.48606300000000002</c:v>
                </c:pt>
                <c:pt idx="102">
                  <c:v>0.49025700000000005</c:v>
                </c:pt>
                <c:pt idx="103">
                  <c:v>0.57945000000000002</c:v>
                </c:pt>
                <c:pt idx="104">
                  <c:v>0.570774</c:v>
                </c:pt>
                <c:pt idx="105">
                  <c:v>0.60141299999999998</c:v>
                </c:pt>
                <c:pt idx="106">
                  <c:v>0.600105</c:v>
                </c:pt>
                <c:pt idx="107">
                  <c:v>0.50270700000000001</c:v>
                </c:pt>
                <c:pt idx="108">
                  <c:v>0.50073600000000007</c:v>
                </c:pt>
                <c:pt idx="109">
                  <c:v>0.50771999999999995</c:v>
                </c:pt>
                <c:pt idx="110">
                  <c:v>0.52043700000000004</c:v>
                </c:pt>
                <c:pt idx="111">
                  <c:v>0.52175099999999996</c:v>
                </c:pt>
                <c:pt idx="112">
                  <c:v>0.51960600000000001</c:v>
                </c:pt>
                <c:pt idx="113">
                  <c:v>0.515343</c:v>
                </c:pt>
                <c:pt idx="114">
                  <c:v>0.51609899999999997</c:v>
                </c:pt>
                <c:pt idx="115">
                  <c:v>0.49974000000000002</c:v>
                </c:pt>
                <c:pt idx="116">
                  <c:v>0.49787399999999998</c:v>
                </c:pt>
                <c:pt idx="117">
                  <c:v>0.51099600000000001</c:v>
                </c:pt>
                <c:pt idx="118">
                  <c:v>0.52412100000000006</c:v>
                </c:pt>
                <c:pt idx="119">
                  <c:v>0.52258199999999999</c:v>
                </c:pt>
                <c:pt idx="120">
                  <c:v>0.51817499999999994</c:v>
                </c:pt>
                <c:pt idx="121">
                  <c:v>0.51695400000000002</c:v>
                </c:pt>
                <c:pt idx="122">
                  <c:v>0.51758399999999993</c:v>
                </c:pt>
                <c:pt idx="123">
                  <c:v>0.51923399999999997</c:v>
                </c:pt>
                <c:pt idx="124">
                  <c:v>0.52482600000000001</c:v>
                </c:pt>
                <c:pt idx="125">
                  <c:v>0.511992</c:v>
                </c:pt>
                <c:pt idx="126">
                  <c:v>0.51693299999999998</c:v>
                </c:pt>
                <c:pt idx="127">
                  <c:v>0.50405100000000003</c:v>
                </c:pt>
                <c:pt idx="128">
                  <c:v>0.50327699999999997</c:v>
                </c:pt>
                <c:pt idx="129">
                  <c:v>0.50244</c:v>
                </c:pt>
                <c:pt idx="130">
                  <c:v>0.49874700000000005</c:v>
                </c:pt>
                <c:pt idx="131">
                  <c:v>0.51122100000000004</c:v>
                </c:pt>
                <c:pt idx="132">
                  <c:v>0.518652</c:v>
                </c:pt>
                <c:pt idx="133">
                  <c:v>0.51290400000000003</c:v>
                </c:pt>
                <c:pt idx="134">
                  <c:v>0.50887199999999999</c:v>
                </c:pt>
                <c:pt idx="135">
                  <c:v>0.52668000000000004</c:v>
                </c:pt>
                <c:pt idx="136">
                  <c:v>0.522729</c:v>
                </c:pt>
                <c:pt idx="137">
                  <c:v>0.52371600000000007</c:v>
                </c:pt>
                <c:pt idx="138">
                  <c:v>0.52639500000000006</c:v>
                </c:pt>
                <c:pt idx="139">
                  <c:v>0.52028699999999994</c:v>
                </c:pt>
                <c:pt idx="140">
                  <c:v>0.52583399999999991</c:v>
                </c:pt>
                <c:pt idx="141">
                  <c:v>0.52436099999999997</c:v>
                </c:pt>
                <c:pt idx="142">
                  <c:v>0.51884399999999997</c:v>
                </c:pt>
                <c:pt idx="143">
                  <c:v>0.49591499999999999</c:v>
                </c:pt>
                <c:pt idx="144">
                  <c:v>0.49026900000000007</c:v>
                </c:pt>
                <c:pt idx="145">
                  <c:v>0.44278200000000001</c:v>
                </c:pt>
                <c:pt idx="146">
                  <c:v>0.44103300000000001</c:v>
                </c:pt>
                <c:pt idx="147">
                  <c:v>0.46628700000000001</c:v>
                </c:pt>
                <c:pt idx="148">
                  <c:v>0.46826100000000004</c:v>
                </c:pt>
                <c:pt idx="149">
                  <c:v>0.46898399999999996</c:v>
                </c:pt>
                <c:pt idx="150">
                  <c:v>0.46667700000000001</c:v>
                </c:pt>
                <c:pt idx="151">
                  <c:v>0.47287199999999996</c:v>
                </c:pt>
                <c:pt idx="152">
                  <c:v>0.47247600000000001</c:v>
                </c:pt>
                <c:pt idx="153">
                  <c:v>0.48447899999999999</c:v>
                </c:pt>
                <c:pt idx="154">
                  <c:v>0.47457300000000002</c:v>
                </c:pt>
                <c:pt idx="155">
                  <c:v>0.46261200000000002</c:v>
                </c:pt>
                <c:pt idx="156">
                  <c:v>0.46359</c:v>
                </c:pt>
                <c:pt idx="157">
                  <c:v>0.46337700000000004</c:v>
                </c:pt>
                <c:pt idx="158">
                  <c:v>0.46295700000000006</c:v>
                </c:pt>
                <c:pt idx="159">
                  <c:v>0.46262100000000006</c:v>
                </c:pt>
                <c:pt idx="160">
                  <c:v>0.46163100000000001</c:v>
                </c:pt>
                <c:pt idx="161">
                  <c:v>0.45748199999999994</c:v>
                </c:pt>
                <c:pt idx="162">
                  <c:v>0.46253100000000003</c:v>
                </c:pt>
                <c:pt idx="163">
                  <c:v>0.46126200000000001</c:v>
                </c:pt>
                <c:pt idx="164">
                  <c:v>0.45795300000000005</c:v>
                </c:pt>
                <c:pt idx="165">
                  <c:v>0.45605999999999997</c:v>
                </c:pt>
                <c:pt idx="166">
                  <c:v>0.45557099999999995</c:v>
                </c:pt>
                <c:pt idx="167">
                  <c:v>0.45182099999999997</c:v>
                </c:pt>
                <c:pt idx="168">
                  <c:v>0.45034799999999997</c:v>
                </c:pt>
                <c:pt idx="169">
                  <c:v>0.45279900000000006</c:v>
                </c:pt>
                <c:pt idx="170">
                  <c:v>0.43877699999999997</c:v>
                </c:pt>
                <c:pt idx="171">
                  <c:v>0.43931100000000001</c:v>
                </c:pt>
                <c:pt idx="172">
                  <c:v>0.434307</c:v>
                </c:pt>
                <c:pt idx="173">
                  <c:v>0.43597800000000003</c:v>
                </c:pt>
                <c:pt idx="174">
                  <c:v>0.44094</c:v>
                </c:pt>
                <c:pt idx="175">
                  <c:v>0.44539799999999996</c:v>
                </c:pt>
                <c:pt idx="176">
                  <c:v>0.44736900000000002</c:v>
                </c:pt>
                <c:pt idx="177">
                  <c:v>0.46886400000000006</c:v>
                </c:pt>
                <c:pt idx="178">
                  <c:v>0.47051700000000002</c:v>
                </c:pt>
                <c:pt idx="179">
                  <c:v>0.48538799999999999</c:v>
                </c:pt>
                <c:pt idx="180">
                  <c:v>0.49263000000000001</c:v>
                </c:pt>
                <c:pt idx="181">
                  <c:v>0.52684200000000003</c:v>
                </c:pt>
                <c:pt idx="182">
                  <c:v>0.53303100000000003</c:v>
                </c:pt>
                <c:pt idx="183">
                  <c:v>0.49284300000000003</c:v>
                </c:pt>
                <c:pt idx="184">
                  <c:v>0.50255099999999997</c:v>
                </c:pt>
                <c:pt idx="185">
                  <c:v>0.497004</c:v>
                </c:pt>
                <c:pt idx="186">
                  <c:v>0.51110699999999998</c:v>
                </c:pt>
                <c:pt idx="187">
                  <c:v>0.55633500000000002</c:v>
                </c:pt>
                <c:pt idx="188">
                  <c:v>0.61277399999999993</c:v>
                </c:pt>
                <c:pt idx="189">
                  <c:v>0.60265800000000003</c:v>
                </c:pt>
                <c:pt idx="190">
                  <c:v>0.60911099999999996</c:v>
                </c:pt>
                <c:pt idx="191">
                  <c:v>0.60909899999999995</c:v>
                </c:pt>
                <c:pt idx="192">
                  <c:v>0.61230899999999999</c:v>
                </c:pt>
                <c:pt idx="193">
                  <c:v>0.61857000000000006</c:v>
                </c:pt>
                <c:pt idx="194">
                  <c:v>0.61513499999999999</c:v>
                </c:pt>
                <c:pt idx="195">
                  <c:v>0.595611</c:v>
                </c:pt>
                <c:pt idx="196">
                  <c:v>0.59603699999999993</c:v>
                </c:pt>
                <c:pt idx="197">
                  <c:v>0.59179800000000005</c:v>
                </c:pt>
                <c:pt idx="198">
                  <c:v>0.58720499999999998</c:v>
                </c:pt>
                <c:pt idx="199">
                  <c:v>0.58602899999999991</c:v>
                </c:pt>
                <c:pt idx="200">
                  <c:v>0.59243100000000004</c:v>
                </c:pt>
                <c:pt idx="201">
                  <c:v>0.58979099999999995</c:v>
                </c:pt>
                <c:pt idx="202">
                  <c:v>0.60115800000000008</c:v>
                </c:pt>
                <c:pt idx="203">
                  <c:v>0.59817000000000009</c:v>
                </c:pt>
                <c:pt idx="204">
                  <c:v>0.60800699999999996</c:v>
                </c:pt>
                <c:pt idx="205">
                  <c:v>0.59866200000000003</c:v>
                </c:pt>
                <c:pt idx="206">
                  <c:v>0.59282699999999999</c:v>
                </c:pt>
                <c:pt idx="207">
                  <c:v>0.58755599999999997</c:v>
                </c:pt>
                <c:pt idx="208">
                  <c:v>0.59024699999999997</c:v>
                </c:pt>
                <c:pt idx="209">
                  <c:v>0.58313999999999999</c:v>
                </c:pt>
                <c:pt idx="210">
                  <c:v>0.58125899999999997</c:v>
                </c:pt>
                <c:pt idx="211">
                  <c:v>0.59093399999999996</c:v>
                </c:pt>
                <c:pt idx="212">
                  <c:v>0.59797500000000003</c:v>
                </c:pt>
                <c:pt idx="213">
                  <c:v>0.60167700000000002</c:v>
                </c:pt>
                <c:pt idx="214">
                  <c:v>0.60077099999999994</c:v>
                </c:pt>
                <c:pt idx="215">
                  <c:v>0.58962000000000003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3-491D-B961-BFF0E6985F97}"/>
            </c:ext>
          </c:extLst>
        </c:ser>
        <c:ser>
          <c:idx val="2"/>
          <c:order val="2"/>
          <c:tx>
            <c:strRef>
              <c:f>产品序列!$D$1</c:f>
              <c:strCache>
                <c:ptCount val="1"/>
                <c:pt idx="0">
                  <c:v>流动性产品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产品序列!$A$2:$A$217</c:f>
              <c:numCache>
                <c:formatCode>yyyy/mm/dd</c:formatCode>
                <c:ptCount val="216"/>
                <c:pt idx="0">
                  <c:v>45289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45418</c:v>
                </c:pt>
                <c:pt idx="80">
                  <c:v>45419</c:v>
                </c:pt>
                <c:pt idx="81">
                  <c:v>45420</c:v>
                </c:pt>
                <c:pt idx="82">
                  <c:v>45421</c:v>
                </c:pt>
                <c:pt idx="83">
                  <c:v>45422</c:v>
                </c:pt>
                <c:pt idx="84">
                  <c:v>45425</c:v>
                </c:pt>
                <c:pt idx="85">
                  <c:v>45426</c:v>
                </c:pt>
                <c:pt idx="86">
                  <c:v>45427</c:v>
                </c:pt>
                <c:pt idx="87">
                  <c:v>45428</c:v>
                </c:pt>
                <c:pt idx="88">
                  <c:v>45429</c:v>
                </c:pt>
                <c:pt idx="89">
                  <c:v>45432</c:v>
                </c:pt>
                <c:pt idx="90">
                  <c:v>45433</c:v>
                </c:pt>
                <c:pt idx="91">
                  <c:v>45434</c:v>
                </c:pt>
                <c:pt idx="92">
                  <c:v>45435</c:v>
                </c:pt>
                <c:pt idx="93">
                  <c:v>45436</c:v>
                </c:pt>
                <c:pt idx="94">
                  <c:v>45439</c:v>
                </c:pt>
                <c:pt idx="95">
                  <c:v>45440</c:v>
                </c:pt>
                <c:pt idx="96">
                  <c:v>45441</c:v>
                </c:pt>
                <c:pt idx="97">
                  <c:v>45442</c:v>
                </c:pt>
                <c:pt idx="98">
                  <c:v>45443</c:v>
                </c:pt>
                <c:pt idx="99">
                  <c:v>45446</c:v>
                </c:pt>
                <c:pt idx="100">
                  <c:v>45447</c:v>
                </c:pt>
                <c:pt idx="101">
                  <c:v>45448</c:v>
                </c:pt>
                <c:pt idx="102">
                  <c:v>45449</c:v>
                </c:pt>
                <c:pt idx="103">
                  <c:v>45450</c:v>
                </c:pt>
                <c:pt idx="104">
                  <c:v>45454</c:v>
                </c:pt>
                <c:pt idx="105">
                  <c:v>45455</c:v>
                </c:pt>
                <c:pt idx="106">
                  <c:v>45456</c:v>
                </c:pt>
                <c:pt idx="107">
                  <c:v>45457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45467</c:v>
                </c:pt>
                <c:pt idx="114">
                  <c:v>45468</c:v>
                </c:pt>
                <c:pt idx="115">
                  <c:v>45469</c:v>
                </c:pt>
                <c:pt idx="116">
                  <c:v>45470</c:v>
                </c:pt>
                <c:pt idx="117">
                  <c:v>45471</c:v>
                </c:pt>
                <c:pt idx="118">
                  <c:v>45474</c:v>
                </c:pt>
                <c:pt idx="119">
                  <c:v>45475</c:v>
                </c:pt>
                <c:pt idx="120">
                  <c:v>45476</c:v>
                </c:pt>
                <c:pt idx="121">
                  <c:v>45477</c:v>
                </c:pt>
                <c:pt idx="122">
                  <c:v>45478</c:v>
                </c:pt>
                <c:pt idx="123">
                  <c:v>45481</c:v>
                </c:pt>
                <c:pt idx="124">
                  <c:v>45482</c:v>
                </c:pt>
                <c:pt idx="125">
                  <c:v>45483</c:v>
                </c:pt>
                <c:pt idx="126">
                  <c:v>45484</c:v>
                </c:pt>
                <c:pt idx="127">
                  <c:v>45485</c:v>
                </c:pt>
                <c:pt idx="128">
                  <c:v>45488</c:v>
                </c:pt>
                <c:pt idx="129">
                  <c:v>45489</c:v>
                </c:pt>
                <c:pt idx="130">
                  <c:v>45490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45519</c:v>
                </c:pt>
                <c:pt idx="152">
                  <c:v>45520</c:v>
                </c:pt>
                <c:pt idx="153">
                  <c:v>45523</c:v>
                </c:pt>
                <c:pt idx="154">
                  <c:v>45524</c:v>
                </c:pt>
                <c:pt idx="155">
                  <c:v>45525</c:v>
                </c:pt>
                <c:pt idx="156">
                  <c:v>45526</c:v>
                </c:pt>
                <c:pt idx="157">
                  <c:v>45527</c:v>
                </c:pt>
                <c:pt idx="158">
                  <c:v>45530</c:v>
                </c:pt>
                <c:pt idx="159">
                  <c:v>45531</c:v>
                </c:pt>
                <c:pt idx="160">
                  <c:v>45532</c:v>
                </c:pt>
                <c:pt idx="161">
                  <c:v>45533</c:v>
                </c:pt>
                <c:pt idx="162">
                  <c:v>45534</c:v>
                </c:pt>
                <c:pt idx="163">
                  <c:v>45537</c:v>
                </c:pt>
                <c:pt idx="164">
                  <c:v>45538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45553</c:v>
                </c:pt>
                <c:pt idx="174">
                  <c:v>45554</c:v>
                </c:pt>
                <c:pt idx="175">
                  <c:v>45555</c:v>
                </c:pt>
                <c:pt idx="176">
                  <c:v>45558</c:v>
                </c:pt>
                <c:pt idx="177">
                  <c:v>45559</c:v>
                </c:pt>
                <c:pt idx="178">
                  <c:v>45560</c:v>
                </c:pt>
                <c:pt idx="179">
                  <c:v>45561</c:v>
                </c:pt>
                <c:pt idx="180">
                  <c:v>45562</c:v>
                </c:pt>
                <c:pt idx="181">
                  <c:v>45565</c:v>
                </c:pt>
                <c:pt idx="182">
                  <c:v>45573</c:v>
                </c:pt>
                <c:pt idx="183">
                  <c:v>45574</c:v>
                </c:pt>
                <c:pt idx="184">
                  <c:v>45575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45596</c:v>
                </c:pt>
                <c:pt idx="200">
                  <c:v>45597</c:v>
                </c:pt>
                <c:pt idx="201">
                  <c:v>45600</c:v>
                </c:pt>
                <c:pt idx="202">
                  <c:v>45601</c:v>
                </c:pt>
                <c:pt idx="203">
                  <c:v>45602</c:v>
                </c:pt>
                <c:pt idx="204">
                  <c:v>45603</c:v>
                </c:pt>
                <c:pt idx="205">
                  <c:v>45604</c:v>
                </c:pt>
                <c:pt idx="206">
                  <c:v>45607</c:v>
                </c:pt>
                <c:pt idx="207">
                  <c:v>45608</c:v>
                </c:pt>
                <c:pt idx="208">
                  <c:v>45609</c:v>
                </c:pt>
                <c:pt idx="209">
                  <c:v>45610</c:v>
                </c:pt>
                <c:pt idx="210">
                  <c:v>45611</c:v>
                </c:pt>
                <c:pt idx="211">
                  <c:v>45614</c:v>
                </c:pt>
                <c:pt idx="212">
                  <c:v>45615</c:v>
                </c:pt>
                <c:pt idx="213">
                  <c:v>45616</c:v>
                </c:pt>
                <c:pt idx="214">
                  <c:v>45617</c:v>
                </c:pt>
                <c:pt idx="215">
                  <c:v>45618</c:v>
                </c:pt>
              </c:numCache>
            </c:numRef>
          </c:cat>
          <c:val>
            <c:numRef>
              <c:f>产品序列!$D$2:$D$217</c:f>
              <c:numCache>
                <c:formatCode>0%</c:formatCode>
                <c:ptCount val="216"/>
                <c:pt idx="0">
                  <c:v>0.561168</c:v>
                </c:pt>
                <c:pt idx="1">
                  <c:v>0.55858400000000008</c:v>
                </c:pt>
                <c:pt idx="2">
                  <c:v>0.553064</c:v>
                </c:pt>
                <c:pt idx="3">
                  <c:v>0.54893199999999998</c:v>
                </c:pt>
                <c:pt idx="4">
                  <c:v>0.54055199999999992</c:v>
                </c:pt>
                <c:pt idx="5">
                  <c:v>0.55986000000000002</c:v>
                </c:pt>
                <c:pt idx="6">
                  <c:v>0.53700400000000004</c:v>
                </c:pt>
                <c:pt idx="7">
                  <c:v>0.54102400000000006</c:v>
                </c:pt>
                <c:pt idx="8">
                  <c:v>0.54042000000000001</c:v>
                </c:pt>
                <c:pt idx="9">
                  <c:v>0.53786800000000001</c:v>
                </c:pt>
                <c:pt idx="10">
                  <c:v>0.53654400000000002</c:v>
                </c:pt>
                <c:pt idx="11">
                  <c:v>0.53532000000000002</c:v>
                </c:pt>
                <c:pt idx="12">
                  <c:v>0.53910400000000003</c:v>
                </c:pt>
                <c:pt idx="13">
                  <c:v>0.542628</c:v>
                </c:pt>
                <c:pt idx="14">
                  <c:v>0.53289199999999992</c:v>
                </c:pt>
                <c:pt idx="15">
                  <c:v>0.55664000000000002</c:v>
                </c:pt>
                <c:pt idx="16">
                  <c:v>0.55399600000000004</c:v>
                </c:pt>
                <c:pt idx="17">
                  <c:v>0.533084</c:v>
                </c:pt>
                <c:pt idx="18">
                  <c:v>0.51736400000000005</c:v>
                </c:pt>
                <c:pt idx="19">
                  <c:v>0.508988</c:v>
                </c:pt>
                <c:pt idx="20">
                  <c:v>0.50796799999999998</c:v>
                </c:pt>
                <c:pt idx="21">
                  <c:v>0.51403199999999993</c:v>
                </c:pt>
                <c:pt idx="22">
                  <c:v>0.51288800000000001</c:v>
                </c:pt>
                <c:pt idx="23">
                  <c:v>0.51540799999999998</c:v>
                </c:pt>
                <c:pt idx="24">
                  <c:v>0.51464799999999999</c:v>
                </c:pt>
                <c:pt idx="25">
                  <c:v>0.51160400000000006</c:v>
                </c:pt>
                <c:pt idx="26">
                  <c:v>0.62663599999999997</c:v>
                </c:pt>
                <c:pt idx="27">
                  <c:v>0.76040799999999997</c:v>
                </c:pt>
                <c:pt idx="28">
                  <c:v>0.76339999999999997</c:v>
                </c:pt>
                <c:pt idx="29">
                  <c:v>0.75839599999999996</c:v>
                </c:pt>
                <c:pt idx="30">
                  <c:v>0.75840800000000008</c:v>
                </c:pt>
                <c:pt idx="31">
                  <c:v>0.72658400000000001</c:v>
                </c:pt>
                <c:pt idx="32">
                  <c:v>0.72327200000000003</c:v>
                </c:pt>
                <c:pt idx="33">
                  <c:v>0.72156799999999999</c:v>
                </c:pt>
                <c:pt idx="34">
                  <c:v>0.73066799999999998</c:v>
                </c:pt>
                <c:pt idx="35">
                  <c:v>0.72992800000000002</c:v>
                </c:pt>
                <c:pt idx="36">
                  <c:v>0.73266799999999999</c:v>
                </c:pt>
                <c:pt idx="37">
                  <c:v>0.73006800000000005</c:v>
                </c:pt>
                <c:pt idx="38">
                  <c:v>0.73078799999999999</c:v>
                </c:pt>
                <c:pt idx="39">
                  <c:v>0.72826400000000002</c:v>
                </c:pt>
                <c:pt idx="40">
                  <c:v>0.72609600000000007</c:v>
                </c:pt>
                <c:pt idx="41">
                  <c:v>0.72587599999999997</c:v>
                </c:pt>
                <c:pt idx="42">
                  <c:v>0.72326000000000001</c:v>
                </c:pt>
                <c:pt idx="43">
                  <c:v>0.71189200000000008</c:v>
                </c:pt>
                <c:pt idx="44">
                  <c:v>0.71365999999999996</c:v>
                </c:pt>
                <c:pt idx="45">
                  <c:v>0.71821199999999996</c:v>
                </c:pt>
                <c:pt idx="46">
                  <c:v>0.718584</c:v>
                </c:pt>
                <c:pt idx="47">
                  <c:v>0.72250799999999993</c:v>
                </c:pt>
                <c:pt idx="48">
                  <c:v>0.71994800000000003</c:v>
                </c:pt>
                <c:pt idx="49">
                  <c:v>0.72163200000000005</c:v>
                </c:pt>
                <c:pt idx="50">
                  <c:v>0.72301599999999999</c:v>
                </c:pt>
                <c:pt idx="51">
                  <c:v>0.71982000000000002</c:v>
                </c:pt>
                <c:pt idx="52">
                  <c:v>0.71992800000000001</c:v>
                </c:pt>
                <c:pt idx="53">
                  <c:v>0.72197999999999996</c:v>
                </c:pt>
                <c:pt idx="54">
                  <c:v>0.72089599999999998</c:v>
                </c:pt>
                <c:pt idx="55">
                  <c:v>0.71968799999999999</c:v>
                </c:pt>
                <c:pt idx="56">
                  <c:v>0.71736800000000001</c:v>
                </c:pt>
                <c:pt idx="57">
                  <c:v>0.72037200000000001</c:v>
                </c:pt>
                <c:pt idx="58">
                  <c:v>0.71550799999999992</c:v>
                </c:pt>
                <c:pt idx="59">
                  <c:v>0.71597599999999995</c:v>
                </c:pt>
                <c:pt idx="60">
                  <c:v>0.71675200000000006</c:v>
                </c:pt>
                <c:pt idx="61">
                  <c:v>0.71776799999999996</c:v>
                </c:pt>
                <c:pt idx="62">
                  <c:v>0.72522399999999998</c:v>
                </c:pt>
                <c:pt idx="63">
                  <c:v>0.72683199999999992</c:v>
                </c:pt>
                <c:pt idx="64">
                  <c:v>0.72653999999999996</c:v>
                </c:pt>
                <c:pt idx="65">
                  <c:v>0.72445599999999999</c:v>
                </c:pt>
                <c:pt idx="66">
                  <c:v>0.72547200000000001</c:v>
                </c:pt>
                <c:pt idx="67">
                  <c:v>0.69561200000000001</c:v>
                </c:pt>
                <c:pt idx="68">
                  <c:v>0.72265999999999997</c:v>
                </c:pt>
                <c:pt idx="69">
                  <c:v>0.69173200000000001</c:v>
                </c:pt>
                <c:pt idx="70">
                  <c:v>0.69168399999999997</c:v>
                </c:pt>
                <c:pt idx="71">
                  <c:v>0.68776800000000005</c:v>
                </c:pt>
                <c:pt idx="72">
                  <c:v>0.69568399999999997</c:v>
                </c:pt>
                <c:pt idx="73">
                  <c:v>0.70082</c:v>
                </c:pt>
                <c:pt idx="74">
                  <c:v>0.65458799999999995</c:v>
                </c:pt>
                <c:pt idx="75">
                  <c:v>0.61691200000000002</c:v>
                </c:pt>
                <c:pt idx="76">
                  <c:v>0.64767600000000003</c:v>
                </c:pt>
                <c:pt idx="77">
                  <c:v>0.64175199999999999</c:v>
                </c:pt>
                <c:pt idx="78">
                  <c:v>0.63670800000000005</c:v>
                </c:pt>
                <c:pt idx="79">
                  <c:v>0.63769600000000004</c:v>
                </c:pt>
                <c:pt idx="80">
                  <c:v>0.63596399999999997</c:v>
                </c:pt>
                <c:pt idx="81">
                  <c:v>0.63237599999999994</c:v>
                </c:pt>
                <c:pt idx="82">
                  <c:v>0.62939999999999996</c:v>
                </c:pt>
                <c:pt idx="83">
                  <c:v>0.62050399999999994</c:v>
                </c:pt>
                <c:pt idx="84">
                  <c:v>0.49650399999999995</c:v>
                </c:pt>
                <c:pt idx="85">
                  <c:v>0.40902400000000005</c:v>
                </c:pt>
                <c:pt idx="86">
                  <c:v>0.34013600000000005</c:v>
                </c:pt>
                <c:pt idx="87">
                  <c:v>0.34736</c:v>
                </c:pt>
                <c:pt idx="88">
                  <c:v>0.33557599999999999</c:v>
                </c:pt>
                <c:pt idx="89">
                  <c:v>0.31872400000000001</c:v>
                </c:pt>
                <c:pt idx="90">
                  <c:v>0.31899200000000005</c:v>
                </c:pt>
                <c:pt idx="91">
                  <c:v>0.32222399999999995</c:v>
                </c:pt>
                <c:pt idx="92">
                  <c:v>0.33263200000000004</c:v>
                </c:pt>
                <c:pt idx="93">
                  <c:v>0.368116</c:v>
                </c:pt>
                <c:pt idx="94">
                  <c:v>0.35306000000000004</c:v>
                </c:pt>
                <c:pt idx="95">
                  <c:v>0.34001999999999999</c:v>
                </c:pt>
                <c:pt idx="96">
                  <c:v>0.33601999999999999</c:v>
                </c:pt>
                <c:pt idx="97">
                  <c:v>0.34995200000000004</c:v>
                </c:pt>
                <c:pt idx="98">
                  <c:v>0.34677600000000003</c:v>
                </c:pt>
                <c:pt idx="99">
                  <c:v>0.35372000000000003</c:v>
                </c:pt>
                <c:pt idx="100">
                  <c:v>0.34882000000000002</c:v>
                </c:pt>
                <c:pt idx="101">
                  <c:v>0.35191600000000001</c:v>
                </c:pt>
                <c:pt idx="102">
                  <c:v>0.34632399999999997</c:v>
                </c:pt>
                <c:pt idx="103">
                  <c:v>0.22740000000000005</c:v>
                </c:pt>
                <c:pt idx="104">
                  <c:v>0.23896799999999996</c:v>
                </c:pt>
                <c:pt idx="105">
                  <c:v>0.19811599999999996</c:v>
                </c:pt>
                <c:pt idx="106">
                  <c:v>0.19986000000000004</c:v>
                </c:pt>
                <c:pt idx="107">
                  <c:v>0.32972400000000002</c:v>
                </c:pt>
                <c:pt idx="108">
                  <c:v>0.33235199999999998</c:v>
                </c:pt>
                <c:pt idx="109">
                  <c:v>0.32303999999999999</c:v>
                </c:pt>
                <c:pt idx="110">
                  <c:v>0.30608400000000002</c:v>
                </c:pt>
                <c:pt idx="111">
                  <c:v>0.30433200000000005</c:v>
                </c:pt>
                <c:pt idx="112">
                  <c:v>0.30719200000000002</c:v>
                </c:pt>
                <c:pt idx="113">
                  <c:v>0.31287600000000004</c:v>
                </c:pt>
                <c:pt idx="114">
                  <c:v>0.31186800000000003</c:v>
                </c:pt>
                <c:pt idx="115">
                  <c:v>0.33368000000000003</c:v>
                </c:pt>
                <c:pt idx="116">
                  <c:v>0.33616799999999997</c:v>
                </c:pt>
                <c:pt idx="117">
                  <c:v>0.31867199999999996</c:v>
                </c:pt>
                <c:pt idx="118">
                  <c:v>0.301172</c:v>
                </c:pt>
                <c:pt idx="119">
                  <c:v>0.30322400000000005</c:v>
                </c:pt>
                <c:pt idx="120">
                  <c:v>0.30910000000000004</c:v>
                </c:pt>
                <c:pt idx="121">
                  <c:v>0.310728</c:v>
                </c:pt>
                <c:pt idx="122">
                  <c:v>0.30988800000000005</c:v>
                </c:pt>
                <c:pt idx="123">
                  <c:v>0.30768799999999996</c:v>
                </c:pt>
                <c:pt idx="124">
                  <c:v>0.30023200000000005</c:v>
                </c:pt>
                <c:pt idx="125">
                  <c:v>0.31734399999999996</c:v>
                </c:pt>
                <c:pt idx="126">
                  <c:v>0.31075600000000003</c:v>
                </c:pt>
                <c:pt idx="127">
                  <c:v>0.327932</c:v>
                </c:pt>
                <c:pt idx="128">
                  <c:v>0.32896400000000003</c:v>
                </c:pt>
                <c:pt idx="129">
                  <c:v>0.33008000000000004</c:v>
                </c:pt>
                <c:pt idx="130">
                  <c:v>0.33500399999999997</c:v>
                </c:pt>
                <c:pt idx="131">
                  <c:v>0.31837199999999999</c:v>
                </c:pt>
                <c:pt idx="132">
                  <c:v>0.30846399999999996</c:v>
                </c:pt>
                <c:pt idx="133">
                  <c:v>0.31612799999999996</c:v>
                </c:pt>
                <c:pt idx="134">
                  <c:v>0.32150400000000001</c:v>
                </c:pt>
                <c:pt idx="135">
                  <c:v>0.29776000000000002</c:v>
                </c:pt>
                <c:pt idx="136">
                  <c:v>0.30302799999999996</c:v>
                </c:pt>
                <c:pt idx="137">
                  <c:v>0.30171199999999998</c:v>
                </c:pt>
                <c:pt idx="138">
                  <c:v>0.29813999999999996</c:v>
                </c:pt>
                <c:pt idx="139">
                  <c:v>0.306284</c:v>
                </c:pt>
                <c:pt idx="140">
                  <c:v>0.29888800000000004</c:v>
                </c:pt>
                <c:pt idx="141">
                  <c:v>0.30085200000000001</c:v>
                </c:pt>
                <c:pt idx="142">
                  <c:v>0.30820800000000004</c:v>
                </c:pt>
                <c:pt idx="143">
                  <c:v>0.33877999999999997</c:v>
                </c:pt>
                <c:pt idx="144">
                  <c:v>0.34630799999999995</c:v>
                </c:pt>
                <c:pt idx="145">
                  <c:v>0.40962399999999999</c:v>
                </c:pt>
                <c:pt idx="146">
                  <c:v>0.41195599999999999</c:v>
                </c:pt>
                <c:pt idx="147">
                  <c:v>0.37828399999999995</c:v>
                </c:pt>
                <c:pt idx="148">
                  <c:v>0.37565199999999999</c:v>
                </c:pt>
                <c:pt idx="149">
                  <c:v>0.37468800000000002</c:v>
                </c:pt>
                <c:pt idx="150">
                  <c:v>0.37776399999999999</c:v>
                </c:pt>
                <c:pt idx="151">
                  <c:v>0.36950400000000005</c:v>
                </c:pt>
                <c:pt idx="152">
                  <c:v>0.37003200000000003</c:v>
                </c:pt>
                <c:pt idx="153">
                  <c:v>0.35402800000000001</c:v>
                </c:pt>
                <c:pt idx="154">
                  <c:v>0.36723600000000001</c:v>
                </c:pt>
                <c:pt idx="155">
                  <c:v>0.38318399999999997</c:v>
                </c:pt>
                <c:pt idx="156">
                  <c:v>0.38187999999999994</c:v>
                </c:pt>
                <c:pt idx="157">
                  <c:v>0.38216399999999995</c:v>
                </c:pt>
                <c:pt idx="158">
                  <c:v>0.38272399999999995</c:v>
                </c:pt>
                <c:pt idx="159">
                  <c:v>0.38317199999999996</c:v>
                </c:pt>
                <c:pt idx="160">
                  <c:v>0.38449199999999994</c:v>
                </c:pt>
                <c:pt idx="161">
                  <c:v>0.39002400000000004</c:v>
                </c:pt>
                <c:pt idx="162">
                  <c:v>0.38329199999999997</c:v>
                </c:pt>
                <c:pt idx="163">
                  <c:v>0.38498400000000005</c:v>
                </c:pt>
                <c:pt idx="164">
                  <c:v>0.38939599999999996</c:v>
                </c:pt>
                <c:pt idx="165">
                  <c:v>0.39191999999999999</c:v>
                </c:pt>
                <c:pt idx="166">
                  <c:v>0.39257200000000003</c:v>
                </c:pt>
                <c:pt idx="167">
                  <c:v>0.39757200000000009</c:v>
                </c:pt>
                <c:pt idx="168">
                  <c:v>0.399536</c:v>
                </c:pt>
                <c:pt idx="169">
                  <c:v>0.39626799999999995</c:v>
                </c:pt>
                <c:pt idx="170">
                  <c:v>0.414964</c:v>
                </c:pt>
                <c:pt idx="171">
                  <c:v>0.41425199999999995</c:v>
                </c:pt>
                <c:pt idx="172">
                  <c:v>0.42092399999999996</c:v>
                </c:pt>
                <c:pt idx="173">
                  <c:v>0.4186959999999999</c:v>
                </c:pt>
                <c:pt idx="174">
                  <c:v>0.41208</c:v>
                </c:pt>
                <c:pt idx="175">
                  <c:v>0.40613600000000005</c:v>
                </c:pt>
                <c:pt idx="176">
                  <c:v>0.40350799999999998</c:v>
                </c:pt>
                <c:pt idx="177">
                  <c:v>0.37484799999999996</c:v>
                </c:pt>
                <c:pt idx="178">
                  <c:v>0.37264400000000003</c:v>
                </c:pt>
                <c:pt idx="179">
                  <c:v>0.35281599999999996</c:v>
                </c:pt>
                <c:pt idx="180">
                  <c:v>0.34316000000000002</c:v>
                </c:pt>
                <c:pt idx="181">
                  <c:v>0.29754400000000003</c:v>
                </c:pt>
                <c:pt idx="182">
                  <c:v>0.28929199999999999</c:v>
                </c:pt>
                <c:pt idx="183">
                  <c:v>0.34287599999999996</c:v>
                </c:pt>
                <c:pt idx="184">
                  <c:v>0.329932</c:v>
                </c:pt>
                <c:pt idx="185">
                  <c:v>0.33732799999999996</c:v>
                </c:pt>
                <c:pt idx="186">
                  <c:v>0.31852400000000003</c:v>
                </c:pt>
                <c:pt idx="187">
                  <c:v>0.25822000000000001</c:v>
                </c:pt>
                <c:pt idx="188">
                  <c:v>0.18296800000000002</c:v>
                </c:pt>
                <c:pt idx="189">
                  <c:v>0.19645599999999996</c:v>
                </c:pt>
                <c:pt idx="190">
                  <c:v>0.18785200000000002</c:v>
                </c:pt>
                <c:pt idx="191">
                  <c:v>0.18786800000000003</c:v>
                </c:pt>
                <c:pt idx="192">
                  <c:v>0.18358799999999997</c:v>
                </c:pt>
                <c:pt idx="193">
                  <c:v>0.17523999999999995</c:v>
                </c:pt>
                <c:pt idx="194">
                  <c:v>0.17981999999999998</c:v>
                </c:pt>
                <c:pt idx="195">
                  <c:v>0.20585200000000003</c:v>
                </c:pt>
                <c:pt idx="196">
                  <c:v>0.20528400000000002</c:v>
                </c:pt>
                <c:pt idx="197">
                  <c:v>0.21093600000000001</c:v>
                </c:pt>
                <c:pt idx="198">
                  <c:v>0.21706000000000003</c:v>
                </c:pt>
                <c:pt idx="199">
                  <c:v>0.21862800000000004</c:v>
                </c:pt>
                <c:pt idx="200">
                  <c:v>0.21009199999999995</c:v>
                </c:pt>
                <c:pt idx="201">
                  <c:v>0.21361200000000002</c:v>
                </c:pt>
                <c:pt idx="202">
                  <c:v>0.19845599999999997</c:v>
                </c:pt>
                <c:pt idx="203">
                  <c:v>0.20243999999999995</c:v>
                </c:pt>
                <c:pt idx="204">
                  <c:v>0.18932400000000005</c:v>
                </c:pt>
                <c:pt idx="205">
                  <c:v>0.20178399999999996</c:v>
                </c:pt>
                <c:pt idx="206">
                  <c:v>0.20956399999999997</c:v>
                </c:pt>
                <c:pt idx="207">
                  <c:v>0.21659200000000001</c:v>
                </c:pt>
                <c:pt idx="208">
                  <c:v>0.21300399999999997</c:v>
                </c:pt>
                <c:pt idx="209">
                  <c:v>0.22248000000000001</c:v>
                </c:pt>
                <c:pt idx="210">
                  <c:v>0.22498799999999997</c:v>
                </c:pt>
                <c:pt idx="211">
                  <c:v>0.21208800000000005</c:v>
                </c:pt>
                <c:pt idx="212">
                  <c:v>0.20269999999999999</c:v>
                </c:pt>
                <c:pt idx="213">
                  <c:v>0.19776400000000005</c:v>
                </c:pt>
                <c:pt idx="214">
                  <c:v>0.19897200000000004</c:v>
                </c:pt>
                <c:pt idx="215">
                  <c:v>0.21384000000000003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3-491D-B961-BFF0E698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748143"/>
        <c:axId val="792749103"/>
      </c:areaChart>
      <c:dateAx>
        <c:axId val="792748143"/>
        <c:scaling>
          <c:orientation val="minMax"/>
        </c:scaling>
        <c:delete val="0"/>
        <c:axPos val="b"/>
        <c:numFmt formatCode="yy/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9103"/>
        <c:crosses val="autoZero"/>
        <c:auto val="1"/>
        <c:lblOffset val="100"/>
        <c:baseTimeUnit val="days"/>
      </c:dateAx>
      <c:valAx>
        <c:axId val="79274910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9274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持仓行业变动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权益分布行业!$B$1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权益分布行业!$B$2:$B$11</c:f>
              <c:numCache>
                <c:formatCode>#,##0.00</c:formatCode>
                <c:ptCount val="10"/>
                <c:pt idx="0">
                  <c:v>2.9219269376054871</c:v>
                </c:pt>
                <c:pt idx="1">
                  <c:v>0.94899096635772873</c:v>
                </c:pt>
                <c:pt idx="2">
                  <c:v>2.8502884776311568</c:v>
                </c:pt>
                <c:pt idx="3">
                  <c:v>0.5409283138316332</c:v>
                </c:pt>
                <c:pt idx="4">
                  <c:v>0.8714416656378825</c:v>
                </c:pt>
                <c:pt idx="5">
                  <c:v>0.45375193642814732</c:v>
                </c:pt>
                <c:pt idx="6">
                  <c:v>1.0332152020383765</c:v>
                </c:pt>
                <c:pt idx="7">
                  <c:v>0.18021681384134908</c:v>
                </c:pt>
                <c:pt idx="8">
                  <c:v>0.31632632620519846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7-4988-BF1D-B0FE85397A6B}"/>
            </c:ext>
          </c:extLst>
        </c:ser>
        <c:ser>
          <c:idx val="1"/>
          <c:order val="1"/>
          <c:tx>
            <c:strRef>
              <c:f>权益分布行业!$C$1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权益分布行业!$C$2:$C$11</c:f>
              <c:numCache>
                <c:formatCode>#,##0.00</c:formatCode>
                <c:ptCount val="10"/>
                <c:pt idx="0">
                  <c:v>3.8003823307106814</c:v>
                </c:pt>
                <c:pt idx="1">
                  <c:v>4.2791575600160359</c:v>
                </c:pt>
                <c:pt idx="2">
                  <c:v>2.2933359037067027</c:v>
                </c:pt>
                <c:pt idx="3">
                  <c:v>1.9806075942085448</c:v>
                </c:pt>
                <c:pt idx="4">
                  <c:v>1.2079135614939975</c:v>
                </c:pt>
                <c:pt idx="5">
                  <c:v>1.508442211990304</c:v>
                </c:pt>
                <c:pt idx="6">
                  <c:v>4.4356546703192209E-2</c:v>
                </c:pt>
                <c:pt idx="7">
                  <c:v>0.30414119068426038</c:v>
                </c:pt>
                <c:pt idx="8">
                  <c:v>8.0538304319624068E-2</c:v>
                </c:pt>
                <c:pt idx="9">
                  <c:v>0.22703939505572124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7-4988-BF1D-B0FE85397A6B}"/>
            </c:ext>
          </c:extLst>
        </c:ser>
        <c:ser>
          <c:idx val="2"/>
          <c:order val="2"/>
          <c:tx>
            <c:strRef>
              <c:f>权益分布行业!$D$1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权益分布行业!$D$2:$D$11</c:f>
              <c:numCache>
                <c:formatCode>#,##0.00</c:formatCode>
                <c:ptCount val="10"/>
                <c:pt idx="0">
                  <c:v>2.9488889760549797</c:v>
                </c:pt>
                <c:pt idx="1">
                  <c:v>3.0075228865928429</c:v>
                </c:pt>
                <c:pt idx="2">
                  <c:v>1.8527271228951632</c:v>
                </c:pt>
                <c:pt idx="3">
                  <c:v>1.4694736387719352</c:v>
                </c:pt>
                <c:pt idx="4">
                  <c:v>0.92543227821110319</c:v>
                </c:pt>
                <c:pt idx="5">
                  <c:v>0.93501108979278102</c:v>
                </c:pt>
                <c:pt idx="6">
                  <c:v>0.17440307628016963</c:v>
                </c:pt>
                <c:pt idx="7">
                  <c:v>0.20274788293307452</c:v>
                </c:pt>
                <c:pt idx="8">
                  <c:v>0.13439707537632042</c:v>
                </c:pt>
                <c:pt idx="9">
                  <c:v>0.1427693458735709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7-4988-BF1D-B0FE85397A6B}"/>
            </c:ext>
          </c:extLst>
        </c:ser>
        <c:ser>
          <c:idx val="3"/>
          <c:order val="3"/>
          <c:tx>
            <c:strRef>
              <c:f>权益分布行业!$E$1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权益分布行业!$A$2:$A$11</c:f>
              <c:strCache>
                <c:ptCount val="10"/>
                <c:pt idx="0">
                  <c:v>公用事业</c:v>
                </c:pt>
                <c:pt idx="1">
                  <c:v>有色金属</c:v>
                </c:pt>
                <c:pt idx="2">
                  <c:v>银行</c:v>
                </c:pt>
                <c:pt idx="3">
                  <c:v>煤炭</c:v>
                </c:pt>
                <c:pt idx="4">
                  <c:v>石油石化</c:v>
                </c:pt>
                <c:pt idx="5">
                  <c:v>交通运输</c:v>
                </c:pt>
                <c:pt idx="6">
                  <c:v>非银金融</c:v>
                </c:pt>
                <c:pt idx="7">
                  <c:v>环保</c:v>
                </c:pt>
                <c:pt idx="8">
                  <c:v>通信</c:v>
                </c:pt>
                <c:pt idx="9">
                  <c:v>钢铁</c:v>
                </c:pt>
              </c:strCache>
            </c:strRef>
          </c:cat>
          <c:val>
            <c:numRef>
              <c:f>权益分布行业!$E$2:$E$11</c:f>
              <c:numCache>
                <c:formatCode>#,##0.00</c:formatCode>
                <c:ptCount val="10"/>
                <c:pt idx="0">
                  <c:v>2.9488889760549797</c:v>
                </c:pt>
                <c:pt idx="1">
                  <c:v>3.0075228865928429</c:v>
                </c:pt>
                <c:pt idx="2">
                  <c:v>1.8527271228951632</c:v>
                </c:pt>
                <c:pt idx="3">
                  <c:v>1.4694736387719352</c:v>
                </c:pt>
                <c:pt idx="4">
                  <c:v>0.92543227821110319</c:v>
                </c:pt>
                <c:pt idx="5">
                  <c:v>0.93501108979278102</c:v>
                </c:pt>
                <c:pt idx="6">
                  <c:v>0.17440307628016963</c:v>
                </c:pt>
                <c:pt idx="7">
                  <c:v>0.20274788293307452</c:v>
                </c:pt>
                <c:pt idx="8">
                  <c:v>0.13439707537632042</c:v>
                </c:pt>
                <c:pt idx="9">
                  <c:v>0.1427693458735709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7-4988-BF1D-B0FE85397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404303"/>
        <c:axId val="431401903"/>
      </c:barChart>
      <c:catAx>
        <c:axId val="43140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401903"/>
        <c:crosses val="autoZero"/>
        <c:auto val="1"/>
        <c:lblAlgn val="ctr"/>
        <c:lblOffset val="100"/>
        <c:noMultiLvlLbl val="0"/>
      </c:catAx>
      <c:valAx>
        <c:axId val="4314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40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收益贡献对比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业绩归因图!$B$1</c:f>
              <c:strCache>
                <c:ptCount val="1"/>
                <c:pt idx="0">
                  <c:v>Q1收益贡献(%)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业绩归因图!$B$2:$B$6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4-432A-9AC1-164D683A561E}"/>
            </c:ext>
          </c:extLst>
        </c:ser>
        <c:ser>
          <c:idx val="1"/>
          <c:order val="1"/>
          <c:tx>
            <c:strRef>
              <c:f>业绩归因图!$C$1</c:f>
              <c:strCache>
                <c:ptCount val="1"/>
                <c:pt idx="0">
                  <c:v>Q2收益贡献(%)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业绩归因图!$C$2:$C$6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4-432A-9AC1-164D683A561E}"/>
            </c:ext>
          </c:extLst>
        </c:ser>
        <c:ser>
          <c:idx val="2"/>
          <c:order val="2"/>
          <c:tx>
            <c:strRef>
              <c:f>业绩归因图!$D$1</c:f>
              <c:strCache>
                <c:ptCount val="1"/>
                <c:pt idx="0">
                  <c:v>Q3收益贡献(%)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业绩归因图!$D$2:$D$6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4-432A-9AC1-164D683A561E}"/>
            </c:ext>
          </c:extLst>
        </c:ser>
        <c:ser>
          <c:idx val="3"/>
          <c:order val="3"/>
          <c:tx>
            <c:strRef>
              <c:f>业绩归因图!$E$1</c:f>
              <c:strCache>
                <c:ptCount val="1"/>
                <c:pt idx="0">
                  <c:v>Q4收益贡献(%)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业绩归因图!$E$2:$E$6</c:f>
              <c:numCache>
                <c:formatCode>#,##0.00</c:formatCode>
                <c:ptCount val="5"/>
                <c:pt idx="0">
                  <c:v>-0.34965649579009889</c:v>
                </c:pt>
                <c:pt idx="1">
                  <c:v>3.1280033905931988</c:v>
                </c:pt>
                <c:pt idx="2">
                  <c:v>0.99571860834878467</c:v>
                </c:pt>
                <c:pt idx="3">
                  <c:v>3.7941465588655042E-2</c:v>
                </c:pt>
                <c:pt idx="4">
                  <c:v>-0.17230340378673728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4-432A-9AC1-164D683A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24511"/>
        <c:axId val="437121151"/>
      </c:barChart>
      <c:catAx>
        <c:axId val="43712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1151"/>
        <c:crosses val="autoZero"/>
        <c:auto val="1"/>
        <c:lblAlgn val="ctr"/>
        <c:lblOffset val="100"/>
        <c:noMultiLvlLbl val="0"/>
      </c:catAx>
      <c:valAx>
        <c:axId val="4371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收益率对比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业绩归因图!$F$1</c:f>
              <c:strCache>
                <c:ptCount val="1"/>
                <c:pt idx="0">
                  <c:v>Q1收益率(%)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业绩归因图!$F$2:$F$6</c:f>
              <c:numCache>
                <c:formatCode>#,##0.00</c:formatCode>
                <c:ptCount val="5"/>
                <c:pt idx="0">
                  <c:v>5</c:v>
                </c:pt>
                <c:pt idx="1">
                  <c:v>5.9153573037165001</c:v>
                </c:pt>
                <c:pt idx="2">
                  <c:v>2.9501078707790049</c:v>
                </c:pt>
                <c:pt idx="3">
                  <c:v>1.0893104024469564</c:v>
                </c:pt>
                <c:pt idx="4">
                  <c:v>-2.5542391013266754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8-473F-9C26-07673CEE4731}"/>
            </c:ext>
          </c:extLst>
        </c:ser>
        <c:ser>
          <c:idx val="1"/>
          <c:order val="1"/>
          <c:tx>
            <c:strRef>
              <c:f>业绩归因图!$G$1</c:f>
              <c:strCache>
                <c:ptCount val="1"/>
                <c:pt idx="0">
                  <c:v>Q2收益率(%)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业绩归因图!$G$2:$G$6</c:f>
              <c:numCache>
                <c:formatCode>#,##0.00</c:formatCode>
                <c:ptCount val="5"/>
                <c:pt idx="0">
                  <c:v>10.620375108119465</c:v>
                </c:pt>
                <c:pt idx="1">
                  <c:v>60.77312255133986</c:v>
                </c:pt>
                <c:pt idx="2">
                  <c:v>27.755962105279373</c:v>
                </c:pt>
                <c:pt idx="3">
                  <c:v>1.8131960810972723</c:v>
                </c:pt>
                <c:pt idx="4">
                  <c:v>-9.5071636559697321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08-473F-9C26-07673CEE4731}"/>
            </c:ext>
          </c:extLst>
        </c:ser>
        <c:ser>
          <c:idx val="2"/>
          <c:order val="2"/>
          <c:tx>
            <c:strRef>
              <c:f>业绩归因图!$H$1</c:f>
              <c:strCache>
                <c:ptCount val="1"/>
                <c:pt idx="0">
                  <c:v>Q3收益率(%)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业绩归因图!$H$2:$H$6</c:f>
              <c:numCache>
                <c:formatCode>#,##0.00</c:formatCode>
                <c:ptCount val="5"/>
                <c:pt idx="0">
                  <c:v>18.968608256493503</c:v>
                </c:pt>
                <c:pt idx="1">
                  <c:v>39.01048470704616</c:v>
                </c:pt>
                <c:pt idx="2">
                  <c:v>41.266935455907621</c:v>
                </c:pt>
                <c:pt idx="3">
                  <c:v>2.8178574304809882</c:v>
                </c:pt>
                <c:pt idx="4">
                  <c:v>-4.9222769350915589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08-473F-9C26-07673CEE4731}"/>
            </c:ext>
          </c:extLst>
        </c:ser>
        <c:ser>
          <c:idx val="3"/>
          <c:order val="3"/>
          <c:tx>
            <c:strRef>
              <c:f>业绩归因图!$I$1</c:f>
              <c:strCache>
                <c:ptCount val="1"/>
                <c:pt idx="0">
                  <c:v>Q4收益率(%)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业绩归因图!$I$2:$I$6</c:f>
              <c:numCache>
                <c:formatCode>#,##0.00</c:formatCode>
                <c:ptCount val="5"/>
                <c:pt idx="0">
                  <c:v>12.266901605148096</c:v>
                </c:pt>
                <c:pt idx="1">
                  <c:v>52.879365184380944</c:v>
                </c:pt>
                <c:pt idx="2">
                  <c:v>33.751938978619634</c:v>
                </c:pt>
                <c:pt idx="3">
                  <c:v>3.4830719970566504</c:v>
                </c:pt>
                <c:pt idx="4">
                  <c:v>-6.7457820881859751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08-473F-9C26-07673CEE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24511"/>
        <c:axId val="437121151"/>
      </c:barChart>
      <c:catAx>
        <c:axId val="43712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1151"/>
        <c:crosses val="autoZero"/>
        <c:auto val="1"/>
        <c:lblAlgn val="ctr"/>
        <c:lblOffset val="100"/>
        <c:noMultiLvlLbl val="0"/>
      </c:catAx>
      <c:valAx>
        <c:axId val="4371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仓位对比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业绩归因图!$J$1</c:f>
              <c:strCache>
                <c:ptCount val="1"/>
                <c:pt idx="0">
                  <c:v>Q1平均仓位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业绩归因图!$J$2:$J$6</c:f>
              <c:numCache>
                <c:formatCode>#,##0.00</c:formatCode>
                <c:ptCount val="5"/>
                <c:pt idx="0">
                  <c:v>5</c:v>
                </c:pt>
                <c:pt idx="1">
                  <c:v>5.9153573037165001</c:v>
                </c:pt>
                <c:pt idx="2">
                  <c:v>2.9501078707790049</c:v>
                </c:pt>
                <c:pt idx="3">
                  <c:v>1.0893104024469564</c:v>
                </c:pt>
                <c:pt idx="4">
                  <c:v>-2.5542391013266754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8-4ED1-A1E8-497A2B44D489}"/>
            </c:ext>
          </c:extLst>
        </c:ser>
        <c:ser>
          <c:idx val="1"/>
          <c:order val="1"/>
          <c:tx>
            <c:strRef>
              <c:f>业绩归因图!$K$1</c:f>
              <c:strCache>
                <c:ptCount val="1"/>
                <c:pt idx="0">
                  <c:v>Q2平均仓位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业绩归因图!$K$2:$K$6</c:f>
              <c:numCache>
                <c:formatCode>#,##0.00</c:formatCode>
                <c:ptCount val="5"/>
                <c:pt idx="0">
                  <c:v>10.620375108119465</c:v>
                </c:pt>
                <c:pt idx="1">
                  <c:v>60.77312255133986</c:v>
                </c:pt>
                <c:pt idx="2">
                  <c:v>27.755962105279373</c:v>
                </c:pt>
                <c:pt idx="3">
                  <c:v>1.8131960810972723</c:v>
                </c:pt>
                <c:pt idx="4">
                  <c:v>-9.5071636559697321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8-4ED1-A1E8-497A2B44D489}"/>
            </c:ext>
          </c:extLst>
        </c:ser>
        <c:ser>
          <c:idx val="2"/>
          <c:order val="2"/>
          <c:tx>
            <c:strRef>
              <c:f>业绩归因图!$L$1</c:f>
              <c:strCache>
                <c:ptCount val="1"/>
                <c:pt idx="0">
                  <c:v>Q3平均仓位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业绩归因图!$L$2:$L$6</c:f>
              <c:numCache>
                <c:formatCode>#,##0.00</c:formatCode>
                <c:ptCount val="5"/>
                <c:pt idx="0">
                  <c:v>18.968608256493503</c:v>
                </c:pt>
                <c:pt idx="1">
                  <c:v>39.01048470704616</c:v>
                </c:pt>
                <c:pt idx="2">
                  <c:v>41.266935455907621</c:v>
                </c:pt>
                <c:pt idx="3">
                  <c:v>2.8178574304809882</c:v>
                </c:pt>
                <c:pt idx="4">
                  <c:v>-4.9222769350915589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18-4ED1-A1E8-497A2B44D489}"/>
            </c:ext>
          </c:extLst>
        </c:ser>
        <c:ser>
          <c:idx val="3"/>
          <c:order val="3"/>
          <c:tx>
            <c:strRef>
              <c:f>业绩归因图!$M$1</c:f>
              <c:strCache>
                <c:ptCount val="1"/>
                <c:pt idx="0">
                  <c:v>Q4平均仓位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业绩归因图!$A$2:$A$6</c:f>
              <c:strCache>
                <c:ptCount val="5"/>
                <c:pt idx="0">
                  <c:v>权益类</c:v>
                </c:pt>
                <c:pt idx="1">
                  <c:v>固定类市值</c:v>
                </c:pt>
                <c:pt idx="2">
                  <c:v>固定成本类</c:v>
                </c:pt>
                <c:pt idx="3">
                  <c:v>货币类</c:v>
                </c:pt>
                <c:pt idx="4">
                  <c:v>正回购</c:v>
                </c:pt>
              </c:strCache>
            </c:strRef>
          </c:cat>
          <c:val>
            <c:numRef>
              <c:f>业绩归因图!$M$2:$M$6</c:f>
              <c:numCache>
                <c:formatCode>#,##0.00</c:formatCode>
                <c:ptCount val="5"/>
                <c:pt idx="0">
                  <c:v>12.266901605148096</c:v>
                </c:pt>
                <c:pt idx="1">
                  <c:v>52.879365184380944</c:v>
                </c:pt>
                <c:pt idx="2">
                  <c:v>33.751938978619634</c:v>
                </c:pt>
                <c:pt idx="3">
                  <c:v>3.4830719970566504</c:v>
                </c:pt>
                <c:pt idx="4">
                  <c:v>-6.7457820881859751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18-4ED1-A1E8-497A2B44D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24511"/>
        <c:axId val="437121151"/>
      </c:barChart>
      <c:catAx>
        <c:axId val="43712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1151"/>
        <c:crosses val="autoZero"/>
        <c:auto val="1"/>
        <c:lblAlgn val="ctr"/>
        <c:lblOffset val="100"/>
        <c:noMultiLvlLbl val="0"/>
      </c:catAx>
      <c:valAx>
        <c:axId val="4371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371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202407</xdr:colOff>
      <xdr:row>2</xdr:row>
      <xdr:rowOff>23814</xdr:rowOff>
    </xdr:from>
    <xdr:to>
      <xdr:col>7</xdr:col>
      <xdr:colOff>416719</xdr:colOff>
      <xdr:row>8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FAF929-4D56-4550-B91F-177F1FB97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69908</xdr:colOff>
      <xdr:row>12</xdr:row>
      <xdr:rowOff>52430</xdr:rowOff>
    </xdr:from>
    <xdr:to>
      <xdr:col>9</xdr:col>
      <xdr:colOff>503514</xdr:colOff>
      <xdr:row>27</xdr:row>
      <xdr:rowOff>33467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B7806CA-8331-446F-AF5D-C66771E00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19</xdr:col>
      <xdr:colOff>481231</xdr:colOff>
      <xdr:row>26</xdr:row>
      <xdr:rowOff>174072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00602E5-79CF-4ACF-9A71-86AED28B3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12</xdr:row>
      <xdr:rowOff>0</xdr:rowOff>
    </xdr:from>
    <xdr:to>
      <xdr:col>29</xdr:col>
      <xdr:colOff>481231</xdr:colOff>
      <xdr:row>26</xdr:row>
      <xdr:rowOff>174072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56549DB-B1A1-4B56-8B1E-5FE5368E0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9</xdr:col>
      <xdr:colOff>530506</xdr:colOff>
      <xdr:row>47</xdr:row>
      <xdr:rowOff>84398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939720A-F21C-4967-9925-9C237C594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30</xdr:row>
      <xdr:rowOff>1</xdr:rowOff>
    </xdr:from>
    <xdr:to>
      <xdr:col>19</xdr:col>
      <xdr:colOff>506392</xdr:colOff>
      <xdr:row>47</xdr:row>
      <xdr:rowOff>132627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BACAF26-880D-4E75-9C57-1DD78353F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685799</xdr:colOff>
      <xdr:row>52</xdr:row>
      <xdr:rowOff>130483</xdr:rowOff>
    </xdr:from>
    <xdr:to>
      <xdr:col>9</xdr:col>
      <xdr:colOff>581024</xdr:colOff>
      <xdr:row>70</xdr:row>
      <xdr:rowOff>130482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35D12CF-0F12-447D-9215-1ED699B67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9524</xdr:colOff>
      <xdr:row>52</xdr:row>
      <xdr:rowOff>159058</xdr:rowOff>
    </xdr:from>
    <xdr:to>
      <xdr:col>19</xdr:col>
      <xdr:colOff>533399</xdr:colOff>
      <xdr:row>70</xdr:row>
      <xdr:rowOff>159057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9D742FFA-34B2-418D-BDEB-FB6F863D1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9525</xdr:colOff>
      <xdr:row>52</xdr:row>
      <xdr:rowOff>149533</xdr:rowOff>
    </xdr:from>
    <xdr:to>
      <xdr:col>29</xdr:col>
      <xdr:colOff>390525</xdr:colOff>
      <xdr:row>70</xdr:row>
      <xdr:rowOff>149532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935A39A7-740E-4083-9D41-CB61718C1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596900</xdr:colOff>
          <xdr:row>0</xdr:row>
          <xdr:rowOff>127000</xdr:rowOff>
        </xdr:from>
        <xdr:to>
          <xdr:col>16</xdr:col>
          <xdr:colOff>266700</xdr:colOff>
          <xdr:row>2</xdr:row>
          <xdr:rowOff>50800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11</xdr:row>
      <xdr:rowOff>123825</xdr:rowOff>
    </xdr:from>
    <xdr:to>
      <xdr:col>15</xdr:col>
      <xdr:colOff>19050</xdr:colOff>
      <xdr:row>24</xdr:row>
      <xdr:rowOff>133349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1630BAE-1538-4552-BC45-EAE651B34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2</xdr:row>
      <xdr:rowOff>95250</xdr:rowOff>
    </xdr:from>
    <xdr:to>
      <xdr:col>16</xdr:col>
      <xdr:colOff>190500</xdr:colOff>
      <xdr:row>15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918D464-71F9-44A1-B22E-60DD957D4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17</xdr:row>
      <xdr:rowOff>85725</xdr:rowOff>
    </xdr:from>
    <xdr:to>
      <xdr:col>16</xdr:col>
      <xdr:colOff>161925</xdr:colOff>
      <xdr:row>30</xdr:row>
      <xdr:rowOff>104775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A923120-545E-4D3A-9094-004BBD689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8</xdr:row>
      <xdr:rowOff>152400</xdr:rowOff>
    </xdr:from>
    <xdr:to>
      <xdr:col>14</xdr:col>
      <xdr:colOff>0</xdr:colOff>
      <xdr:row>24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C88728-9362-472E-BC1A-16C796CB5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6</xdr:row>
      <xdr:rowOff>190499</xdr:rowOff>
    </xdr:from>
    <xdr:to>
      <xdr:col>18</xdr:col>
      <xdr:colOff>533400</xdr:colOff>
      <xdr:row>23</xdr:row>
      <xdr:rowOff>66674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2648B9-6624-C3C4-C7EA-303191BAB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171450</xdr:rowOff>
    </xdr:from>
    <xdr:to>
      <xdr:col>4</xdr:col>
      <xdr:colOff>1266826</xdr:colOff>
      <xdr:row>25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1B57A5-884C-3967-7B79-42168CAE6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8</xdr:row>
      <xdr:rowOff>19050</xdr:rowOff>
    </xdr:from>
    <xdr:to>
      <xdr:col>10</xdr:col>
      <xdr:colOff>9526</xdr:colOff>
      <xdr:row>26</xdr:row>
      <xdr:rowOff>19050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4EE7271-84C1-439A-BEAD-FA7A9D9FB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8</xdr:row>
      <xdr:rowOff>9525</xdr:rowOff>
    </xdr:from>
    <xdr:to>
      <xdr:col>14</xdr:col>
      <xdr:colOff>1257301</xdr:colOff>
      <xdr:row>26</xdr:row>
      <xdr:rowOff>9525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27626F5-FD33-40BA-AD0E-B55F04C07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A5A8-A229-4EAB-A654-AAFD1CF3DB0A}">
  <sheetPr codeName="Sheet8"/>
  <dimension ref="A1:H12"/>
  <sheetViews>
    <sheetView zoomScale="85" zoomScaleNormal="100" workbookViewId="0">
      <selection activeCell="L6" sqref="L6"/>
    </sheetView>
  </sheetViews>
  <sheetFormatPr baseColWidth="10" defaultColWidth="8.83203125" defaultRowHeight="15"/>
  <sheetData>
    <row r="1" spans="1:8">
      <c r="A1" s="33" t="str">
        <f>组合信息!B1</f>
        <v>XX组合</v>
      </c>
      <c r="G1" s="15"/>
    </row>
    <row r="2" spans="1:8">
      <c r="G2" s="16"/>
    </row>
    <row r="3" spans="1:8">
      <c r="G3" s="16"/>
    </row>
    <row r="4" spans="1:8" ht="18">
      <c r="A4" s="17" t="s">
        <v>105</v>
      </c>
      <c r="B4" s="18"/>
      <c r="C4" s="19" t="s">
        <v>106</v>
      </c>
      <c r="D4" s="19" t="s">
        <v>107</v>
      </c>
      <c r="E4" s="19" t="s">
        <v>108</v>
      </c>
      <c r="G4" s="16"/>
    </row>
    <row r="5" spans="1:8">
      <c r="A5" s="20" t="s">
        <v>109</v>
      </c>
      <c r="B5" s="21">
        <f>业绩归因1!G4/100</f>
        <v>0.12266901605148096</v>
      </c>
      <c r="C5" s="22">
        <f>业绩归因1!C4/100</f>
        <v>-3.4965649579009887E-3</v>
      </c>
      <c r="D5" s="22">
        <f>业绩归因1!D4/100</f>
        <v>-2.8504059708391011E-2</v>
      </c>
      <c r="E5" s="22">
        <f>组合信息!B6</f>
        <v>0.14000000000000001</v>
      </c>
      <c r="G5" s="23" t="s">
        <v>139</v>
      </c>
      <c r="H5" s="24"/>
    </row>
    <row r="6" spans="1:8" ht="21">
      <c r="C6" s="25"/>
      <c r="D6" s="25"/>
      <c r="E6" s="25"/>
      <c r="G6" s="26">
        <f>B5/SUM(B5,B8)</f>
        <v>0.12030550645347902</v>
      </c>
    </row>
    <row r="7" spans="1:8" ht="18">
      <c r="A7" s="27" t="s">
        <v>110</v>
      </c>
      <c r="C7" s="28" t="s">
        <v>106</v>
      </c>
      <c r="D7" s="28" t="s">
        <v>107</v>
      </c>
      <c r="E7" s="28" t="s">
        <v>115</v>
      </c>
      <c r="G7" s="23" t="s">
        <v>140</v>
      </c>
      <c r="H7" s="24"/>
    </row>
    <row r="8" spans="1:8">
      <c r="A8" s="20" t="s">
        <v>109</v>
      </c>
      <c r="B8" s="21">
        <f>业绩归因1!G12/100</f>
        <v>0.89697688102901452</v>
      </c>
      <c r="C8" s="22">
        <f>业绩归因1!C12/100</f>
        <v>4.2522242381406138E-2</v>
      </c>
      <c r="D8" s="22">
        <f>业绩归因1!D12/100</f>
        <v>4.7406174318143514E-2</v>
      </c>
      <c r="E8" s="22">
        <f>组合信息!B7</f>
        <v>0.05</v>
      </c>
      <c r="G8" s="16"/>
    </row>
    <row r="9" spans="1:8">
      <c r="G9" s="29"/>
    </row>
    <row r="10" spans="1:8">
      <c r="G10" s="29"/>
    </row>
    <row r="11" spans="1:8">
      <c r="G11" s="15"/>
    </row>
    <row r="12" spans="1:8">
      <c r="G12" s="15"/>
    </row>
  </sheetData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51E1-FBF3-473F-BD14-BDF26A18CB2F}">
  <sheetPr codeName="Sheet1"/>
  <dimension ref="A1:B7"/>
  <sheetViews>
    <sheetView workbookViewId="0">
      <selection activeCell="B8" sqref="B8"/>
    </sheetView>
  </sheetViews>
  <sheetFormatPr baseColWidth="10" defaultColWidth="8.83203125" defaultRowHeight="15"/>
  <cols>
    <col min="1" max="1" width="17.1640625" bestFit="1" customWidth="1"/>
    <col min="2" max="2" width="15.6640625" bestFit="1" customWidth="1"/>
  </cols>
  <sheetData>
    <row r="1" spans="1:2" ht="16">
      <c r="A1" s="9" t="s">
        <v>0</v>
      </c>
      <c r="B1" s="10" t="s">
        <v>102</v>
      </c>
    </row>
    <row r="2" spans="1:2" ht="16">
      <c r="A2" s="9" t="s">
        <v>1</v>
      </c>
      <c r="B2" s="11" t="s">
        <v>111</v>
      </c>
    </row>
    <row r="3" spans="1:2">
      <c r="A3" s="9" t="s">
        <v>2</v>
      </c>
      <c r="B3" s="12">
        <v>44201</v>
      </c>
    </row>
    <row r="4" spans="1:2">
      <c r="A4" s="9" t="s">
        <v>99</v>
      </c>
      <c r="B4" s="12">
        <v>45288</v>
      </c>
    </row>
    <row r="5" spans="1:2">
      <c r="A5" s="9" t="s">
        <v>100</v>
      </c>
      <c r="B5" s="12">
        <v>45618</v>
      </c>
    </row>
    <row r="6" spans="1:2">
      <c r="A6" s="30" t="s">
        <v>113</v>
      </c>
      <c r="B6" s="31">
        <v>0.14000000000000001</v>
      </c>
    </row>
    <row r="7" spans="1:2">
      <c r="A7" s="30" t="s">
        <v>114</v>
      </c>
      <c r="B7" s="31">
        <v>0.05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20D1-7DD8-42B1-A4E8-97FEE5AE01A2}">
  <sheetPr codeName="Sheet3"/>
  <dimension ref="A1:D217"/>
  <sheetViews>
    <sheetView topLeftCell="A193" workbookViewId="0">
      <selection activeCell="F23" sqref="F23"/>
    </sheetView>
  </sheetViews>
  <sheetFormatPr baseColWidth="10" defaultColWidth="8.83203125" defaultRowHeight="15"/>
  <cols>
    <col min="1" max="1" width="12.1640625" bestFit="1" customWidth="1"/>
    <col min="2" max="2" width="9.1640625" bestFit="1" customWidth="1"/>
    <col min="3" max="3" width="20.33203125" bestFit="1" customWidth="1"/>
    <col min="4" max="4" width="9.1640625" bestFit="1" customWidth="1"/>
  </cols>
  <sheetData>
    <row r="1" spans="1:4" ht="17">
      <c r="A1" s="1" t="s">
        <v>3</v>
      </c>
      <c r="B1" s="1" t="s">
        <v>101</v>
      </c>
      <c r="C1" s="1" t="s">
        <v>5</v>
      </c>
      <c r="D1" s="1" t="s">
        <v>4</v>
      </c>
    </row>
    <row r="2" spans="1:4" ht="16">
      <c r="A2" s="2">
        <v>45289</v>
      </c>
      <c r="B2" s="3">
        <v>0</v>
      </c>
      <c r="C2" s="4">
        <v>3431.1098999999999</v>
      </c>
      <c r="D2" s="3">
        <v>0.99339999999999995</v>
      </c>
    </row>
    <row r="3" spans="1:4" ht="16">
      <c r="A3" s="2">
        <v>45293</v>
      </c>
      <c r="B3" s="13">
        <f>D3/$D$2-1</f>
        <v>4.5298973223273364E-3</v>
      </c>
      <c r="C3" s="4">
        <v>3386.3521999999998</v>
      </c>
      <c r="D3" s="3">
        <v>0.99790000000000001</v>
      </c>
    </row>
    <row r="4" spans="1:4" ht="16">
      <c r="A4" s="2">
        <v>45294</v>
      </c>
      <c r="B4" s="13">
        <f t="shared" ref="B4:B67" si="0">D4/$D$2-1</f>
        <v>6.2411918663178856E-3</v>
      </c>
      <c r="C4" s="4">
        <v>3378.2970999999998</v>
      </c>
      <c r="D4" s="3">
        <v>0.99960000000000004</v>
      </c>
    </row>
    <row r="5" spans="1:4" ht="16">
      <c r="A5" s="2">
        <v>45295</v>
      </c>
      <c r="B5" s="13">
        <f t="shared" si="0"/>
        <v>7.3485001006643458E-3</v>
      </c>
      <c r="C5" s="4">
        <v>3347.0518999999999</v>
      </c>
      <c r="D5" s="3">
        <v>1.0006999999999999</v>
      </c>
    </row>
    <row r="6" spans="1:4" ht="16">
      <c r="A6" s="2">
        <v>45296</v>
      </c>
      <c r="B6" s="13">
        <f t="shared" si="0"/>
        <v>7.6504932554861682E-3</v>
      </c>
      <c r="C6" s="4">
        <v>3329.1113999999998</v>
      </c>
      <c r="D6" s="3">
        <v>1.0009999999999999</v>
      </c>
    </row>
    <row r="7" spans="1:4" ht="16">
      <c r="A7" s="2">
        <v>45299</v>
      </c>
      <c r="B7" s="13">
        <f t="shared" si="0"/>
        <v>7.0465069458425234E-3</v>
      </c>
      <c r="C7" s="4">
        <v>3286.0563999999999</v>
      </c>
      <c r="D7" s="3">
        <v>1.0004</v>
      </c>
    </row>
    <row r="8" spans="1:4" ht="16">
      <c r="A8" s="2">
        <v>45300</v>
      </c>
      <c r="B8" s="13">
        <f t="shared" si="0"/>
        <v>6.3418562512584931E-3</v>
      </c>
      <c r="C8" s="4">
        <v>3292.4994000000002</v>
      </c>
      <c r="D8" s="3">
        <v>0.99970000000000003</v>
      </c>
    </row>
    <row r="9" spans="1:4" ht="16">
      <c r="A9" s="2">
        <v>45301</v>
      </c>
      <c r="B9" s="13">
        <f t="shared" si="0"/>
        <v>5.9391987114958411E-3</v>
      </c>
      <c r="C9" s="4">
        <v>3277.1289999999999</v>
      </c>
      <c r="D9" s="3">
        <v>0.99929999999999997</v>
      </c>
    </row>
    <row r="10" spans="1:4" ht="16">
      <c r="A10" s="2">
        <v>45302</v>
      </c>
      <c r="B10" s="13">
        <f t="shared" si="0"/>
        <v>5.3352124018524183E-3</v>
      </c>
      <c r="C10" s="4">
        <v>3295.6716999999999</v>
      </c>
      <c r="D10" s="3">
        <v>0.99870000000000003</v>
      </c>
    </row>
    <row r="11" spans="1:4" ht="16">
      <c r="A11" s="2">
        <v>45303</v>
      </c>
      <c r="B11" s="13">
        <f t="shared" si="0"/>
        <v>7.0465069458425234E-3</v>
      </c>
      <c r="C11" s="4">
        <v>3284.1667000000002</v>
      </c>
      <c r="D11" s="3">
        <v>1.0004</v>
      </c>
    </row>
    <row r="12" spans="1:4" ht="16">
      <c r="A12" s="2">
        <v>45306</v>
      </c>
      <c r="B12" s="13">
        <f t="shared" si="0"/>
        <v>7.3485001006643458E-3</v>
      </c>
      <c r="C12" s="4">
        <v>3280.9195</v>
      </c>
      <c r="D12" s="3">
        <v>1.0006999999999999</v>
      </c>
    </row>
    <row r="13" spans="1:4" ht="16">
      <c r="A13" s="2">
        <v>45307</v>
      </c>
      <c r="B13" s="13">
        <f t="shared" si="0"/>
        <v>8.5564727199516355E-3</v>
      </c>
      <c r="C13" s="4">
        <v>3300.8762000000002</v>
      </c>
      <c r="D13" s="3">
        <v>1.0019</v>
      </c>
    </row>
    <row r="14" spans="1:4" ht="16">
      <c r="A14" s="2">
        <v>45308</v>
      </c>
      <c r="B14" s="13">
        <f t="shared" si="0"/>
        <v>6.9458425609019159E-3</v>
      </c>
      <c r="C14" s="4">
        <v>3229.0819999999999</v>
      </c>
      <c r="D14" s="3">
        <v>1.0003</v>
      </c>
    </row>
    <row r="15" spans="1:4" ht="16">
      <c r="A15" s="2">
        <v>45309</v>
      </c>
      <c r="B15" s="13">
        <f t="shared" si="0"/>
        <v>7.0465069458425234E-3</v>
      </c>
      <c r="C15" s="4">
        <v>3274.7285999999999</v>
      </c>
      <c r="D15" s="3">
        <v>1.0004</v>
      </c>
    </row>
    <row r="16" spans="1:4" ht="16">
      <c r="A16" s="2">
        <v>45310</v>
      </c>
      <c r="B16" s="13">
        <f t="shared" si="0"/>
        <v>6.3418562512584931E-3</v>
      </c>
      <c r="C16" s="4">
        <v>3269.7763</v>
      </c>
      <c r="D16" s="3">
        <v>0.99970000000000003</v>
      </c>
    </row>
    <row r="17" spans="1:4" ht="16">
      <c r="A17" s="2">
        <v>45313</v>
      </c>
      <c r="B17" s="13">
        <f t="shared" si="0"/>
        <v>4.429232937386729E-3</v>
      </c>
      <c r="C17" s="4">
        <v>3218.9016000000001</v>
      </c>
      <c r="D17" s="3">
        <v>0.99780000000000002</v>
      </c>
    </row>
    <row r="18" spans="1:4" ht="16">
      <c r="A18" s="2">
        <v>45314</v>
      </c>
      <c r="B18" s="13">
        <f t="shared" si="0"/>
        <v>4.8318904771491589E-3</v>
      </c>
      <c r="C18" s="4">
        <v>3231.9328999999998</v>
      </c>
      <c r="D18" s="3">
        <v>0.99819999999999998</v>
      </c>
    </row>
    <row r="19" spans="1:4" ht="16">
      <c r="A19" s="2">
        <v>45315</v>
      </c>
      <c r="B19" s="13">
        <f t="shared" si="0"/>
        <v>7.8518220253676052E-3</v>
      </c>
      <c r="C19" s="4">
        <v>3277.1089000000002</v>
      </c>
      <c r="D19" s="3">
        <v>1.0012000000000001</v>
      </c>
    </row>
    <row r="20" spans="1:4" ht="16">
      <c r="A20" s="2">
        <v>45316</v>
      </c>
      <c r="B20" s="13">
        <f t="shared" si="0"/>
        <v>1.157640426816986E-2</v>
      </c>
      <c r="C20" s="4">
        <v>3342.9189000000001</v>
      </c>
      <c r="D20" s="3">
        <v>1.0048999999999999</v>
      </c>
    </row>
    <row r="21" spans="1:4" ht="16">
      <c r="A21" s="2">
        <v>45317</v>
      </c>
      <c r="B21" s="13">
        <f t="shared" si="0"/>
        <v>1.3891685121804054E-2</v>
      </c>
      <c r="C21" s="4">
        <v>3333.8213000000001</v>
      </c>
      <c r="D21" s="3">
        <v>1.0072000000000001</v>
      </c>
    </row>
    <row r="22" spans="1:4" ht="16">
      <c r="A22" s="2">
        <v>45320</v>
      </c>
      <c r="B22" s="13">
        <f t="shared" si="0"/>
        <v>1.4797664586269521E-2</v>
      </c>
      <c r="C22" s="4">
        <v>3303.9603999999999</v>
      </c>
      <c r="D22" s="3">
        <v>1.0081</v>
      </c>
    </row>
    <row r="23" spans="1:4" ht="16">
      <c r="A23" s="2">
        <v>45321</v>
      </c>
      <c r="B23" s="13">
        <f t="shared" si="0"/>
        <v>1.3690356351922617E-2</v>
      </c>
      <c r="C23" s="4">
        <v>3245.0387000000001</v>
      </c>
      <c r="D23" s="3">
        <v>1.0069999999999999</v>
      </c>
    </row>
    <row r="24" spans="1:4" ht="16">
      <c r="A24" s="2">
        <v>45322</v>
      </c>
      <c r="B24" s="13">
        <f t="shared" si="0"/>
        <v>1.4093013891685269E-2</v>
      </c>
      <c r="C24" s="4">
        <v>3215.3517999999999</v>
      </c>
      <c r="D24" s="3">
        <v>1.0074000000000001</v>
      </c>
    </row>
    <row r="25" spans="1:4" ht="16">
      <c r="A25" s="2">
        <v>45323</v>
      </c>
      <c r="B25" s="13">
        <f t="shared" si="0"/>
        <v>1.2885041272397757E-2</v>
      </c>
      <c r="C25" s="4">
        <v>3217.7109</v>
      </c>
      <c r="D25" s="3">
        <v>1.0062</v>
      </c>
    </row>
    <row r="26" spans="1:4" ht="16">
      <c r="A26" s="2">
        <v>45324</v>
      </c>
      <c r="B26" s="13">
        <f t="shared" si="0"/>
        <v>1.3187034427219579E-2</v>
      </c>
      <c r="C26" s="4">
        <v>3179.6275999999998</v>
      </c>
      <c r="D26" s="3">
        <v>1.0065</v>
      </c>
    </row>
    <row r="27" spans="1:4" ht="16">
      <c r="A27" s="2">
        <v>45327</v>
      </c>
      <c r="B27" s="13">
        <f t="shared" si="0"/>
        <v>1.3992349506744661E-2</v>
      </c>
      <c r="C27" s="4">
        <v>3200.4218000000001</v>
      </c>
      <c r="D27" s="3">
        <v>1.0073000000000001</v>
      </c>
    </row>
    <row r="28" spans="1:4" ht="16">
      <c r="A28" s="2">
        <v>45328</v>
      </c>
      <c r="B28" s="13">
        <f t="shared" si="0"/>
        <v>1.5602979665794159E-2</v>
      </c>
      <c r="C28" s="4">
        <v>3311.6922</v>
      </c>
      <c r="D28" s="3">
        <v>1.0088999999999999</v>
      </c>
    </row>
    <row r="29" spans="1:4" ht="16">
      <c r="A29" s="2">
        <v>45329</v>
      </c>
      <c r="B29" s="13">
        <f t="shared" si="0"/>
        <v>1.5602979665794159E-2</v>
      </c>
      <c r="C29" s="4">
        <v>3343.6302999999998</v>
      </c>
      <c r="D29" s="3">
        <v>1.0088999999999999</v>
      </c>
    </row>
    <row r="30" spans="1:4" ht="16">
      <c r="A30" s="2">
        <v>45330</v>
      </c>
      <c r="B30" s="13">
        <f t="shared" si="0"/>
        <v>1.6005637205556811E-2</v>
      </c>
      <c r="C30" s="4">
        <v>3364.9297000000001</v>
      </c>
      <c r="D30" s="3">
        <v>1.0093000000000001</v>
      </c>
    </row>
    <row r="31" spans="1:4" ht="16">
      <c r="A31" s="2">
        <v>45341</v>
      </c>
      <c r="B31" s="13">
        <f t="shared" si="0"/>
        <v>1.8522246829071998E-2</v>
      </c>
      <c r="C31" s="4">
        <v>3403.8078</v>
      </c>
      <c r="D31" s="3">
        <v>1.0118</v>
      </c>
    </row>
    <row r="32" spans="1:4" ht="16">
      <c r="A32" s="2">
        <v>45342</v>
      </c>
      <c r="B32" s="13">
        <f t="shared" si="0"/>
        <v>1.9931548218240502E-2</v>
      </c>
      <c r="C32" s="4">
        <v>3410.8542000000002</v>
      </c>
      <c r="D32" s="3">
        <v>1.0132000000000001</v>
      </c>
    </row>
    <row r="33" spans="1:4" ht="16">
      <c r="A33" s="2">
        <v>45343</v>
      </c>
      <c r="B33" s="13">
        <f t="shared" si="0"/>
        <v>2.1038856452587185E-2</v>
      </c>
      <c r="C33" s="4">
        <v>3456.8712999999998</v>
      </c>
      <c r="D33" s="3">
        <v>1.0143</v>
      </c>
    </row>
    <row r="34" spans="1:4" ht="16">
      <c r="A34" s="2">
        <v>45344</v>
      </c>
      <c r="B34" s="13">
        <f t="shared" si="0"/>
        <v>2.2146164686933867E-2</v>
      </c>
      <c r="C34" s="4">
        <v>3486.6747</v>
      </c>
      <c r="D34" s="3">
        <v>1.0154000000000001</v>
      </c>
    </row>
    <row r="35" spans="1:4" ht="16">
      <c r="A35" s="2">
        <v>45345</v>
      </c>
      <c r="B35" s="13">
        <f t="shared" si="0"/>
        <v>2.2750150996577512E-2</v>
      </c>
      <c r="C35" s="4">
        <v>3489.7415999999998</v>
      </c>
      <c r="D35" s="3">
        <v>1.016</v>
      </c>
    </row>
    <row r="36" spans="1:4" ht="16">
      <c r="A36" s="2">
        <v>45348</v>
      </c>
      <c r="B36" s="13">
        <f t="shared" si="0"/>
        <v>2.12401852224684E-2</v>
      </c>
      <c r="C36" s="4">
        <v>3453.3584999999998</v>
      </c>
      <c r="D36" s="3">
        <v>1.0145</v>
      </c>
    </row>
    <row r="37" spans="1:4" ht="16">
      <c r="A37" s="2">
        <v>45349</v>
      </c>
      <c r="B37" s="13">
        <f t="shared" si="0"/>
        <v>2.1642842762230607E-2</v>
      </c>
      <c r="C37" s="4">
        <v>3494.7874000000002</v>
      </c>
      <c r="D37" s="3">
        <v>1.0148999999999999</v>
      </c>
    </row>
    <row r="38" spans="1:4" ht="16">
      <c r="A38" s="2">
        <v>45350</v>
      </c>
      <c r="B38" s="13">
        <f t="shared" si="0"/>
        <v>2.12401852224684E-2</v>
      </c>
      <c r="C38" s="4">
        <v>3450.2597999999998</v>
      </c>
      <c r="D38" s="3">
        <v>1.0145</v>
      </c>
    </row>
    <row r="39" spans="1:4" ht="16">
      <c r="A39" s="2">
        <v>45351</v>
      </c>
      <c r="B39" s="13">
        <f t="shared" si="0"/>
        <v>2.1743507147171215E-2</v>
      </c>
      <c r="C39" s="4">
        <v>3516.0826000000002</v>
      </c>
      <c r="D39" s="3">
        <v>1.0149999999999999</v>
      </c>
    </row>
    <row r="40" spans="1:4" ht="16">
      <c r="A40" s="2">
        <v>45352</v>
      </c>
      <c r="B40" s="13">
        <f t="shared" si="0"/>
        <v>2.2146164686933867E-2</v>
      </c>
      <c r="C40" s="4">
        <v>3537.8038000000001</v>
      </c>
      <c r="D40" s="3">
        <v>1.0154000000000001</v>
      </c>
    </row>
    <row r="41" spans="1:4" ht="16">
      <c r="A41" s="2">
        <v>45355</v>
      </c>
      <c r="B41" s="13">
        <f t="shared" si="0"/>
        <v>2.3454801691161764E-2</v>
      </c>
      <c r="C41" s="4">
        <v>3540.8685999999998</v>
      </c>
      <c r="D41" s="3">
        <v>1.0166999999999999</v>
      </c>
    </row>
    <row r="42" spans="1:4" ht="16">
      <c r="A42" s="2">
        <v>45356</v>
      </c>
      <c r="B42" s="13">
        <f t="shared" si="0"/>
        <v>2.4260116770686624E-2</v>
      </c>
      <c r="C42" s="4">
        <v>3565.5142999999998</v>
      </c>
      <c r="D42" s="3">
        <v>1.0175000000000001</v>
      </c>
    </row>
    <row r="43" spans="1:4" ht="16">
      <c r="A43" s="2">
        <v>45357</v>
      </c>
      <c r="B43" s="13">
        <f t="shared" si="0"/>
        <v>2.4864103080330269E-2</v>
      </c>
      <c r="C43" s="4">
        <v>3551.0481</v>
      </c>
      <c r="D43" s="3">
        <v>1.0181</v>
      </c>
    </row>
    <row r="44" spans="1:4" ht="16">
      <c r="A44" s="2">
        <v>45358</v>
      </c>
      <c r="B44" s="13">
        <f t="shared" si="0"/>
        <v>2.5971411314676951E-2</v>
      </c>
      <c r="C44" s="4">
        <v>3529.7195000000002</v>
      </c>
      <c r="D44" s="3">
        <v>1.0192000000000001</v>
      </c>
    </row>
    <row r="45" spans="1:4" ht="16">
      <c r="A45" s="2">
        <v>45359</v>
      </c>
      <c r="B45" s="13">
        <f t="shared" si="0"/>
        <v>2.6776726394201811E-2</v>
      </c>
      <c r="C45" s="4">
        <v>3544.9099000000001</v>
      </c>
      <c r="D45" s="3">
        <v>1.02</v>
      </c>
    </row>
    <row r="46" spans="1:4" ht="16">
      <c r="A46" s="2">
        <v>45362</v>
      </c>
      <c r="B46" s="13">
        <f t="shared" si="0"/>
        <v>2.6273404469498773E-2</v>
      </c>
      <c r="C46" s="4">
        <v>3589.2635</v>
      </c>
      <c r="D46" s="3">
        <v>1.0195000000000001</v>
      </c>
    </row>
    <row r="47" spans="1:4" ht="16">
      <c r="A47" s="2">
        <v>45363</v>
      </c>
      <c r="B47" s="13">
        <f t="shared" si="0"/>
        <v>2.4159452385746016E-2</v>
      </c>
      <c r="C47" s="4">
        <v>3597.4938999999999</v>
      </c>
      <c r="D47" s="3">
        <v>1.0174000000000001</v>
      </c>
    </row>
    <row r="48" spans="1:4" ht="16">
      <c r="A48" s="2">
        <v>45364</v>
      </c>
      <c r="B48" s="13">
        <f t="shared" si="0"/>
        <v>2.4260116770686624E-2</v>
      </c>
      <c r="C48" s="4">
        <v>3572.3609999999999</v>
      </c>
      <c r="D48" s="3">
        <v>1.0175000000000001</v>
      </c>
    </row>
    <row r="49" spans="1:4" ht="16">
      <c r="A49" s="2">
        <v>45365</v>
      </c>
      <c r="B49" s="13">
        <f t="shared" si="0"/>
        <v>2.5065431850211484E-2</v>
      </c>
      <c r="C49" s="4">
        <v>3562.2229000000002</v>
      </c>
      <c r="D49" s="3">
        <v>1.0183</v>
      </c>
    </row>
    <row r="50" spans="1:4" ht="16">
      <c r="A50" s="2">
        <v>45366</v>
      </c>
      <c r="B50" s="13">
        <f t="shared" si="0"/>
        <v>2.5971411314676951E-2</v>
      </c>
      <c r="C50" s="4">
        <v>3569.9929999999999</v>
      </c>
      <c r="D50" s="3">
        <v>1.0192000000000001</v>
      </c>
    </row>
    <row r="51" spans="1:4" ht="16">
      <c r="A51" s="2">
        <v>45369</v>
      </c>
      <c r="B51" s="13">
        <f t="shared" si="0"/>
        <v>2.6072075699617558E-2</v>
      </c>
      <c r="C51" s="4">
        <v>3603.5279999999998</v>
      </c>
      <c r="D51" s="3">
        <v>1.0193000000000001</v>
      </c>
    </row>
    <row r="52" spans="1:4" ht="16">
      <c r="A52" s="2">
        <v>45370</v>
      </c>
      <c r="B52" s="13">
        <f t="shared" si="0"/>
        <v>2.5770082544795514E-2</v>
      </c>
      <c r="C52" s="4">
        <v>3577.6302999999998</v>
      </c>
      <c r="D52" s="3">
        <v>1.0189999999999999</v>
      </c>
    </row>
    <row r="53" spans="1:4" ht="16">
      <c r="A53" s="2">
        <v>45371</v>
      </c>
      <c r="B53" s="13">
        <f t="shared" si="0"/>
        <v>2.6374068854439381E-2</v>
      </c>
      <c r="C53" s="4">
        <v>3585.3838000000001</v>
      </c>
      <c r="D53" s="3">
        <v>1.0196000000000001</v>
      </c>
    </row>
    <row r="54" spans="1:4" ht="16">
      <c r="A54" s="2">
        <v>45372</v>
      </c>
      <c r="B54" s="13">
        <f t="shared" si="0"/>
        <v>2.6776726394201811E-2</v>
      </c>
      <c r="C54" s="4">
        <v>3581.0902000000001</v>
      </c>
      <c r="D54" s="3">
        <v>1.02</v>
      </c>
    </row>
    <row r="55" spans="1:4" ht="16">
      <c r="A55" s="2">
        <v>45373</v>
      </c>
      <c r="B55" s="13">
        <f t="shared" si="0"/>
        <v>2.6172740084558166E-2</v>
      </c>
      <c r="C55" s="4">
        <v>3545.0023000000001</v>
      </c>
      <c r="D55" s="3">
        <v>1.0194000000000001</v>
      </c>
    </row>
    <row r="56" spans="1:4" ht="16">
      <c r="A56" s="2">
        <v>45376</v>
      </c>
      <c r="B56" s="13">
        <f t="shared" si="0"/>
        <v>2.6978055164083026E-2</v>
      </c>
      <c r="C56" s="4">
        <v>3525.7633999999998</v>
      </c>
      <c r="D56" s="3">
        <v>1.0202</v>
      </c>
    </row>
    <row r="57" spans="1:4" ht="16">
      <c r="A57" s="2">
        <v>45377</v>
      </c>
      <c r="B57" s="13">
        <f t="shared" si="0"/>
        <v>2.6877390779142418E-2</v>
      </c>
      <c r="C57" s="4">
        <v>3543.7467000000001</v>
      </c>
      <c r="D57" s="3">
        <v>1.0201</v>
      </c>
    </row>
    <row r="58" spans="1:4" ht="16">
      <c r="A58" s="2">
        <v>45378</v>
      </c>
      <c r="B58" s="13">
        <f t="shared" si="0"/>
        <v>2.6877390779142418E-2</v>
      </c>
      <c r="C58" s="4">
        <v>3502.7865999999999</v>
      </c>
      <c r="D58" s="3">
        <v>1.0201</v>
      </c>
    </row>
    <row r="59" spans="1:4" ht="16">
      <c r="A59" s="2">
        <v>45379</v>
      </c>
      <c r="B59" s="13">
        <f t="shared" si="0"/>
        <v>2.7179383933964241E-2</v>
      </c>
      <c r="C59" s="4">
        <v>3520.9648000000002</v>
      </c>
      <c r="D59" s="3">
        <v>1.0204</v>
      </c>
    </row>
    <row r="60" spans="1:4" ht="16">
      <c r="A60" s="2">
        <v>45380</v>
      </c>
      <c r="B60" s="13">
        <f t="shared" si="0"/>
        <v>2.838735655325153E-2</v>
      </c>
      <c r="C60" s="4">
        <v>3537.4843000000001</v>
      </c>
      <c r="D60" s="3">
        <v>1.0216000000000001</v>
      </c>
    </row>
    <row r="61" spans="1:4" ht="16">
      <c r="A61" s="2">
        <v>45383</v>
      </c>
      <c r="B61" s="13">
        <f t="shared" si="0"/>
        <v>2.8488020938192138E-2</v>
      </c>
      <c r="C61" s="4">
        <v>3595.6466</v>
      </c>
      <c r="D61" s="3">
        <v>1.0217000000000001</v>
      </c>
    </row>
    <row r="62" spans="1:4" ht="16">
      <c r="A62" s="2">
        <v>45384</v>
      </c>
      <c r="B62" s="13">
        <f t="shared" si="0"/>
        <v>2.8991342862895175E-2</v>
      </c>
      <c r="C62" s="4">
        <v>3580.6759000000002</v>
      </c>
      <c r="D62" s="3">
        <v>1.0222</v>
      </c>
    </row>
    <row r="63" spans="1:4" ht="16">
      <c r="A63" s="2">
        <v>45385</v>
      </c>
      <c r="B63" s="13">
        <f t="shared" si="0"/>
        <v>2.9897322327360421E-2</v>
      </c>
      <c r="C63" s="4">
        <v>3567.8031000000001</v>
      </c>
      <c r="D63" s="3">
        <v>1.0230999999999999</v>
      </c>
    </row>
    <row r="64" spans="1:4" ht="16">
      <c r="A64" s="2">
        <v>45390</v>
      </c>
      <c r="B64" s="13">
        <f t="shared" si="0"/>
        <v>3.0903966176766717E-2</v>
      </c>
      <c r="C64" s="4">
        <v>3536.4077000000002</v>
      </c>
      <c r="D64" s="3">
        <v>1.0241</v>
      </c>
    </row>
    <row r="65" spans="1:4" ht="16">
      <c r="A65" s="2">
        <v>45391</v>
      </c>
      <c r="B65" s="13">
        <f t="shared" si="0"/>
        <v>3.0501308637004287E-2</v>
      </c>
      <c r="C65" s="4">
        <v>3533.4870999999998</v>
      </c>
      <c r="D65" s="3">
        <v>1.0237000000000001</v>
      </c>
    </row>
    <row r="66" spans="1:4" ht="16">
      <c r="A66" s="2">
        <v>45392</v>
      </c>
      <c r="B66" s="13">
        <f t="shared" si="0"/>
        <v>3.1709281256291577E-2</v>
      </c>
      <c r="C66" s="4">
        <v>3504.7085999999999</v>
      </c>
      <c r="D66" s="3">
        <v>1.0248999999999999</v>
      </c>
    </row>
    <row r="67" spans="1:4" ht="16">
      <c r="A67" s="2">
        <v>45393</v>
      </c>
      <c r="B67" s="13">
        <f t="shared" si="0"/>
        <v>3.20112744111134E-2</v>
      </c>
      <c r="C67" s="4">
        <v>3504.2447000000002</v>
      </c>
      <c r="D67" s="3">
        <v>1.0251999999999999</v>
      </c>
    </row>
    <row r="68" spans="1:4" ht="16">
      <c r="A68" s="2">
        <v>45394</v>
      </c>
      <c r="B68" s="13">
        <f t="shared" ref="B68:B131" si="1">D68/$D$2-1</f>
        <v>3.2313267565935222E-2</v>
      </c>
      <c r="C68" s="4">
        <v>3475.8389000000002</v>
      </c>
      <c r="D68" s="3">
        <v>1.0255000000000001</v>
      </c>
    </row>
    <row r="69" spans="1:4" ht="16">
      <c r="A69" s="2">
        <v>45397</v>
      </c>
      <c r="B69" s="13">
        <f t="shared" si="1"/>
        <v>3.3923897724984942E-2</v>
      </c>
      <c r="C69" s="4">
        <v>3549.0758999999998</v>
      </c>
      <c r="D69" s="3">
        <v>1.0270999999999999</v>
      </c>
    </row>
    <row r="70" spans="1:4" ht="16">
      <c r="A70" s="2">
        <v>45398</v>
      </c>
      <c r="B70" s="13">
        <f t="shared" si="1"/>
        <v>3.3219247030400689E-2</v>
      </c>
      <c r="C70" s="4">
        <v>3511.1145999999999</v>
      </c>
      <c r="D70" s="3">
        <v>1.0264</v>
      </c>
    </row>
    <row r="71" spans="1:4" ht="16">
      <c r="A71" s="2">
        <v>45399</v>
      </c>
      <c r="B71" s="13">
        <f t="shared" si="1"/>
        <v>3.5131870344272231E-2</v>
      </c>
      <c r="C71" s="4">
        <v>3565.4029999999998</v>
      </c>
      <c r="D71" s="3">
        <v>1.0283</v>
      </c>
    </row>
    <row r="72" spans="1:4" ht="16">
      <c r="A72" s="2">
        <v>45400</v>
      </c>
      <c r="B72" s="13">
        <f t="shared" si="1"/>
        <v>3.6943829273203166E-2</v>
      </c>
      <c r="C72" s="4">
        <v>3569.8018000000002</v>
      </c>
      <c r="D72" s="3">
        <v>1.0301</v>
      </c>
    </row>
    <row r="73" spans="1:4" ht="16">
      <c r="A73" s="2">
        <v>45401</v>
      </c>
      <c r="B73" s="13">
        <f t="shared" si="1"/>
        <v>3.6742500503321951E-2</v>
      </c>
      <c r="C73" s="4">
        <v>3541.6619000000001</v>
      </c>
      <c r="D73" s="3">
        <v>1.0299</v>
      </c>
    </row>
    <row r="74" spans="1:4" ht="16">
      <c r="A74" s="2">
        <v>45404</v>
      </c>
      <c r="B74" s="13">
        <f t="shared" si="1"/>
        <v>3.5635192268975269E-2</v>
      </c>
      <c r="C74" s="4">
        <v>3530.9045000000001</v>
      </c>
      <c r="D74" s="3">
        <v>1.0287999999999999</v>
      </c>
    </row>
    <row r="75" spans="1:4" ht="16">
      <c r="A75" s="2">
        <v>45405</v>
      </c>
      <c r="B75" s="13">
        <f t="shared" si="1"/>
        <v>3.4628548419569194E-2</v>
      </c>
      <c r="C75" s="4">
        <v>3506.2249000000002</v>
      </c>
      <c r="D75" s="3">
        <v>1.0278</v>
      </c>
    </row>
    <row r="76" spans="1:4" ht="16">
      <c r="A76" s="2">
        <v>45406</v>
      </c>
      <c r="B76" s="13">
        <f t="shared" si="1"/>
        <v>3.4930541574391016E-2</v>
      </c>
      <c r="C76" s="4">
        <v>3521.6219000000001</v>
      </c>
      <c r="D76" s="3">
        <v>1.0281</v>
      </c>
    </row>
    <row r="77" spans="1:4" ht="16">
      <c r="A77" s="2">
        <v>45407</v>
      </c>
      <c r="B77" s="13">
        <f t="shared" si="1"/>
        <v>3.5232534729212839E-2</v>
      </c>
      <c r="C77" s="4">
        <v>3530.2813000000001</v>
      </c>
      <c r="D77" s="3">
        <v>1.0284</v>
      </c>
    </row>
    <row r="78" spans="1:4" ht="16">
      <c r="A78" s="2">
        <v>45408</v>
      </c>
      <c r="B78" s="13">
        <f t="shared" si="1"/>
        <v>3.5333199114153446E-2</v>
      </c>
      <c r="C78" s="4">
        <v>3584.2685999999999</v>
      </c>
      <c r="D78" s="3">
        <v>1.0285</v>
      </c>
    </row>
    <row r="79" spans="1:4" ht="16">
      <c r="A79" s="2">
        <v>45411</v>
      </c>
      <c r="B79" s="13">
        <f t="shared" si="1"/>
        <v>3.4326555264747372E-2</v>
      </c>
      <c r="C79" s="4">
        <v>3623.9124000000002</v>
      </c>
      <c r="D79" s="3">
        <v>1.0275000000000001</v>
      </c>
    </row>
    <row r="80" spans="1:4" ht="16">
      <c r="A80" s="2">
        <v>45412</v>
      </c>
      <c r="B80" s="13">
        <f t="shared" si="1"/>
        <v>3.5433863499094054E-2</v>
      </c>
      <c r="C80" s="4">
        <v>3604.3942999999999</v>
      </c>
      <c r="D80" s="3">
        <v>1.0286</v>
      </c>
    </row>
    <row r="81" spans="1:4" ht="16">
      <c r="A81" s="2">
        <v>45418</v>
      </c>
      <c r="B81" s="13">
        <f t="shared" si="1"/>
        <v>3.6138514193678528E-2</v>
      </c>
      <c r="C81" s="4">
        <v>3657.8766999999998</v>
      </c>
      <c r="D81" s="3">
        <v>1.0293000000000001</v>
      </c>
    </row>
    <row r="82" spans="1:4" ht="16">
      <c r="A82" s="2">
        <v>45419</v>
      </c>
      <c r="B82" s="13">
        <f t="shared" si="1"/>
        <v>3.6541171733440736E-2</v>
      </c>
      <c r="C82" s="4">
        <v>3659.0075999999999</v>
      </c>
      <c r="D82" s="3">
        <v>1.0297000000000001</v>
      </c>
    </row>
    <row r="83" spans="1:4" ht="16">
      <c r="A83" s="2">
        <v>45420</v>
      </c>
      <c r="B83" s="13">
        <f t="shared" si="1"/>
        <v>3.7145158043084381E-2</v>
      </c>
      <c r="C83" s="4">
        <v>3630.2233000000001</v>
      </c>
      <c r="D83" s="3">
        <v>1.0303</v>
      </c>
    </row>
    <row r="84" spans="1:4" ht="16">
      <c r="A84" s="2">
        <v>45421</v>
      </c>
      <c r="B84" s="13">
        <f t="shared" si="1"/>
        <v>3.8353130662371893E-2</v>
      </c>
      <c r="C84" s="4">
        <v>3664.5610000000001</v>
      </c>
      <c r="D84" s="3">
        <v>1.0315000000000001</v>
      </c>
    </row>
    <row r="85" spans="1:4" ht="16">
      <c r="A85" s="2">
        <v>45422</v>
      </c>
      <c r="B85" s="13">
        <f t="shared" si="1"/>
        <v>3.9359774511777745E-2</v>
      </c>
      <c r="C85" s="4">
        <v>3666.2770999999998</v>
      </c>
      <c r="D85" s="3">
        <v>1.0325</v>
      </c>
    </row>
    <row r="86" spans="1:4" ht="16">
      <c r="A86" s="2">
        <v>45425</v>
      </c>
      <c r="B86" s="13">
        <f t="shared" si="1"/>
        <v>3.9661767666599568E-2</v>
      </c>
      <c r="C86" s="4">
        <v>3664.6907000000001</v>
      </c>
      <c r="D86" s="3">
        <v>1.0327999999999999</v>
      </c>
    </row>
    <row r="87" spans="1:4" ht="16">
      <c r="A87" s="2">
        <v>45426</v>
      </c>
      <c r="B87" s="13">
        <f t="shared" si="1"/>
        <v>3.996376082142139E-2</v>
      </c>
      <c r="C87" s="4">
        <v>3657.0454</v>
      </c>
      <c r="D87" s="3">
        <v>1.0330999999999999</v>
      </c>
    </row>
    <row r="88" spans="1:4" ht="16">
      <c r="A88" s="2">
        <v>45427</v>
      </c>
      <c r="B88" s="13">
        <f t="shared" si="1"/>
        <v>3.8554459432252886E-2</v>
      </c>
      <c r="C88" s="4">
        <v>3626.0558999999998</v>
      </c>
      <c r="D88" s="3">
        <v>1.0317000000000001</v>
      </c>
    </row>
    <row r="89" spans="1:4" ht="16">
      <c r="A89" s="2">
        <v>45428</v>
      </c>
      <c r="B89" s="13">
        <f t="shared" si="1"/>
        <v>3.8252466277431285E-2</v>
      </c>
      <c r="C89" s="4">
        <v>3640.3591999999999</v>
      </c>
      <c r="D89" s="3">
        <v>1.0314000000000001</v>
      </c>
    </row>
    <row r="90" spans="1:4" ht="16">
      <c r="A90" s="2">
        <v>45429</v>
      </c>
      <c r="B90" s="13">
        <f t="shared" si="1"/>
        <v>3.9762432051540175E-2</v>
      </c>
      <c r="C90" s="4">
        <v>3677.9695999999999</v>
      </c>
      <c r="D90" s="3">
        <v>1.0328999999999999</v>
      </c>
    </row>
    <row r="91" spans="1:4" ht="16">
      <c r="A91" s="2">
        <v>45432</v>
      </c>
      <c r="B91" s="13">
        <f t="shared" si="1"/>
        <v>4.3789007449164474E-2</v>
      </c>
      <c r="C91" s="4">
        <v>3690.9623000000001</v>
      </c>
      <c r="D91" s="3">
        <v>1.0368999999999999</v>
      </c>
    </row>
    <row r="92" spans="1:4" ht="16">
      <c r="A92" s="2">
        <v>45433</v>
      </c>
      <c r="B92" s="13">
        <f t="shared" si="1"/>
        <v>4.3487014294342652E-2</v>
      </c>
      <c r="C92" s="4">
        <v>3676.1610999999998</v>
      </c>
      <c r="D92" s="3">
        <v>1.0366</v>
      </c>
    </row>
    <row r="93" spans="1:4" ht="16">
      <c r="A93" s="2">
        <v>45434</v>
      </c>
      <c r="B93" s="13">
        <f t="shared" si="1"/>
        <v>4.2681699214818014E-2</v>
      </c>
      <c r="C93" s="4">
        <v>3684.451</v>
      </c>
      <c r="D93" s="3">
        <v>1.0358000000000001</v>
      </c>
    </row>
    <row r="94" spans="1:4" ht="16">
      <c r="A94" s="2">
        <v>45435</v>
      </c>
      <c r="B94" s="13">
        <f t="shared" si="1"/>
        <v>4.0668411516005643E-2</v>
      </c>
      <c r="C94" s="4">
        <v>3641.7917000000002</v>
      </c>
      <c r="D94" s="3">
        <v>1.0338000000000001</v>
      </c>
    </row>
    <row r="95" spans="1:4" ht="16">
      <c r="A95" s="2">
        <v>45436</v>
      </c>
      <c r="B95" s="13">
        <f t="shared" si="1"/>
        <v>4.1272397825649287E-2</v>
      </c>
      <c r="C95" s="4">
        <v>3601.4753999999998</v>
      </c>
      <c r="D95" s="3">
        <v>1.0344</v>
      </c>
    </row>
    <row r="96" spans="1:4" ht="16">
      <c r="A96" s="2">
        <v>45439</v>
      </c>
      <c r="B96" s="13">
        <f t="shared" si="1"/>
        <v>4.4996980068451764E-2</v>
      </c>
      <c r="C96" s="4">
        <v>3635.7078999999999</v>
      </c>
      <c r="D96" s="3">
        <v>1.0381</v>
      </c>
    </row>
    <row r="97" spans="1:4" ht="16">
      <c r="A97" s="2">
        <v>45440</v>
      </c>
      <c r="B97" s="13">
        <f t="shared" si="1"/>
        <v>4.5500301993154801E-2</v>
      </c>
      <c r="C97" s="4">
        <v>3609.1723999999999</v>
      </c>
      <c r="D97" s="3">
        <v>1.0386</v>
      </c>
    </row>
    <row r="98" spans="1:4" ht="16">
      <c r="A98" s="2">
        <v>45441</v>
      </c>
      <c r="B98" s="13">
        <f t="shared" si="1"/>
        <v>4.7110932152204521E-2</v>
      </c>
      <c r="C98" s="4">
        <v>3613.5223000000001</v>
      </c>
      <c r="D98" s="3">
        <v>1.0402</v>
      </c>
    </row>
    <row r="99" spans="1:4" ht="16">
      <c r="A99" s="2">
        <v>45442</v>
      </c>
      <c r="B99" s="13">
        <f t="shared" si="1"/>
        <v>4.3990336219045689E-2</v>
      </c>
      <c r="C99" s="4">
        <v>3594.3121000000001</v>
      </c>
      <c r="D99" s="3">
        <v>1.0370999999999999</v>
      </c>
    </row>
    <row r="100" spans="1:4" ht="16">
      <c r="A100" s="2">
        <v>45443</v>
      </c>
      <c r="B100" s="13">
        <f t="shared" si="1"/>
        <v>4.3789007449164474E-2</v>
      </c>
      <c r="C100" s="4">
        <v>3579.9247</v>
      </c>
      <c r="D100" s="3">
        <v>1.0368999999999999</v>
      </c>
    </row>
    <row r="101" spans="1:4" ht="16">
      <c r="A101" s="2">
        <v>45446</v>
      </c>
      <c r="B101" s="13">
        <f t="shared" si="1"/>
        <v>4.2581034829877407E-2</v>
      </c>
      <c r="C101" s="4">
        <v>3588.7483000000002</v>
      </c>
      <c r="D101" s="3">
        <v>1.0357000000000001</v>
      </c>
    </row>
    <row r="102" spans="1:4" ht="16">
      <c r="A102" s="2">
        <v>45447</v>
      </c>
      <c r="B102" s="13">
        <f t="shared" si="1"/>
        <v>4.3285685524461437E-2</v>
      </c>
      <c r="C102" s="4">
        <v>3615.6714000000002</v>
      </c>
      <c r="D102" s="3">
        <v>1.0364</v>
      </c>
    </row>
    <row r="103" spans="1:4" ht="16">
      <c r="A103" s="2">
        <v>45448</v>
      </c>
      <c r="B103" s="13">
        <f t="shared" si="1"/>
        <v>4.1272397825649287E-2</v>
      </c>
      <c r="C103" s="4">
        <v>3594.7936</v>
      </c>
      <c r="D103" s="3">
        <v>1.0344</v>
      </c>
    </row>
    <row r="104" spans="1:4" ht="16">
      <c r="A104" s="2">
        <v>45449</v>
      </c>
      <c r="B104" s="13">
        <f t="shared" si="1"/>
        <v>4.3789007449164474E-2</v>
      </c>
      <c r="C104" s="4">
        <v>3592.2453999999998</v>
      </c>
      <c r="D104" s="3">
        <v>1.0368999999999999</v>
      </c>
    </row>
    <row r="105" spans="1:4" ht="16">
      <c r="A105" s="2">
        <v>45450</v>
      </c>
      <c r="B105" s="13">
        <f t="shared" si="1"/>
        <v>4.5600966378095409E-2</v>
      </c>
      <c r="C105" s="4">
        <v>3574.1143000000002</v>
      </c>
      <c r="D105" s="3">
        <v>1.0387</v>
      </c>
    </row>
    <row r="106" spans="1:4" ht="16">
      <c r="A106" s="2">
        <v>45454</v>
      </c>
      <c r="B106" s="13">
        <f t="shared" si="1"/>
        <v>4.197704852023354E-2</v>
      </c>
      <c r="C106" s="4">
        <v>3542.8771000000002</v>
      </c>
      <c r="D106" s="3">
        <v>1.0350999999999999</v>
      </c>
    </row>
    <row r="107" spans="1:4" ht="16">
      <c r="A107" s="2">
        <v>45455</v>
      </c>
      <c r="B107" s="13">
        <f t="shared" si="1"/>
        <v>4.5198308838332979E-2</v>
      </c>
      <c r="C107" s="4">
        <v>3544.1224999999999</v>
      </c>
      <c r="D107" s="3">
        <v>1.0383</v>
      </c>
    </row>
    <row r="108" spans="1:4" ht="16">
      <c r="A108" s="2">
        <v>45456</v>
      </c>
      <c r="B108" s="13">
        <f t="shared" si="1"/>
        <v>4.2983692369639614E-2</v>
      </c>
      <c r="C108" s="4">
        <v>3526.1306</v>
      </c>
      <c r="D108" s="3">
        <v>1.0361</v>
      </c>
    </row>
    <row r="109" spans="1:4" ht="16">
      <c r="A109" s="2">
        <v>45457</v>
      </c>
      <c r="B109" s="13">
        <f t="shared" si="1"/>
        <v>4.157439098047111E-2</v>
      </c>
      <c r="C109" s="4">
        <v>3541.5331000000001</v>
      </c>
      <c r="D109" s="3">
        <v>1.0347</v>
      </c>
    </row>
    <row r="110" spans="1:4" ht="16">
      <c r="A110" s="2">
        <v>45460</v>
      </c>
      <c r="B110" s="13">
        <f t="shared" si="1"/>
        <v>3.9259110126837138E-2</v>
      </c>
      <c r="C110" s="4">
        <v>3536.1986000000002</v>
      </c>
      <c r="D110" s="3">
        <v>1.0324</v>
      </c>
    </row>
    <row r="111" spans="1:4" ht="16">
      <c r="A111" s="2">
        <v>45461</v>
      </c>
      <c r="B111" s="13">
        <f t="shared" si="1"/>
        <v>3.996376082142139E-2</v>
      </c>
      <c r="C111" s="4">
        <v>3545.5902000000001</v>
      </c>
      <c r="D111" s="3">
        <v>1.0330999999999999</v>
      </c>
    </row>
    <row r="112" spans="1:4" ht="16">
      <c r="A112" s="2">
        <v>45462</v>
      </c>
      <c r="B112" s="13">
        <f t="shared" si="1"/>
        <v>4.0668411516005643E-2</v>
      </c>
      <c r="C112" s="4">
        <v>3528.7489999999998</v>
      </c>
      <c r="D112" s="3">
        <v>1.0338000000000001</v>
      </c>
    </row>
    <row r="113" spans="1:4" ht="16">
      <c r="A113" s="2">
        <v>45463</v>
      </c>
      <c r="B113" s="13">
        <f t="shared" si="1"/>
        <v>4.1473726595530502E-2</v>
      </c>
      <c r="C113" s="4">
        <v>3503.2817</v>
      </c>
      <c r="D113" s="3">
        <v>1.0346</v>
      </c>
    </row>
    <row r="114" spans="1:4" ht="16">
      <c r="A114" s="2">
        <v>45464</v>
      </c>
      <c r="B114" s="13">
        <f t="shared" si="1"/>
        <v>4.0668411516005643E-2</v>
      </c>
      <c r="C114" s="4">
        <v>3495.6197999999999</v>
      </c>
      <c r="D114" s="3">
        <v>1.0338000000000001</v>
      </c>
    </row>
    <row r="115" spans="1:4" ht="16">
      <c r="A115" s="2">
        <v>45467</v>
      </c>
      <c r="B115" s="13">
        <f t="shared" si="1"/>
        <v>3.9460438896718353E-2</v>
      </c>
      <c r="C115" s="4">
        <v>3476.8101999999999</v>
      </c>
      <c r="D115" s="3">
        <v>1.0326</v>
      </c>
    </row>
    <row r="116" spans="1:4" ht="16">
      <c r="A116" s="2">
        <v>45468</v>
      </c>
      <c r="B116" s="13">
        <f t="shared" si="1"/>
        <v>3.956110328165896E-2</v>
      </c>
      <c r="C116" s="4">
        <v>3457.9023000000002</v>
      </c>
      <c r="D116" s="3">
        <v>1.0327</v>
      </c>
    </row>
    <row r="117" spans="1:4" ht="16">
      <c r="A117" s="2">
        <v>45469</v>
      </c>
      <c r="B117" s="13">
        <f t="shared" si="1"/>
        <v>3.9259110126837138E-2</v>
      </c>
      <c r="C117" s="4">
        <v>3480.2647999999999</v>
      </c>
      <c r="D117" s="3">
        <v>1.0324</v>
      </c>
    </row>
    <row r="118" spans="1:4" ht="16">
      <c r="A118" s="2">
        <v>45470</v>
      </c>
      <c r="B118" s="13">
        <f t="shared" si="1"/>
        <v>3.8353130662371893E-2</v>
      </c>
      <c r="C118" s="4">
        <v>3454.1174999999998</v>
      </c>
      <c r="D118" s="3">
        <v>1.0315000000000001</v>
      </c>
    </row>
    <row r="119" spans="1:4" ht="16">
      <c r="A119" s="2">
        <v>45471</v>
      </c>
      <c r="B119" s="13">
        <f t="shared" si="1"/>
        <v>4.1775719750352325E-2</v>
      </c>
      <c r="C119" s="4">
        <v>3461.6570000000002</v>
      </c>
      <c r="D119" s="3">
        <v>1.0348999999999999</v>
      </c>
    </row>
    <row r="120" spans="1:4" ht="16">
      <c r="A120" s="2">
        <v>45474</v>
      </c>
      <c r="B120" s="13">
        <f t="shared" si="1"/>
        <v>4.7412925307026343E-2</v>
      </c>
      <c r="C120" s="4">
        <v>3478.1826999999998</v>
      </c>
      <c r="D120" s="3">
        <v>1.0405</v>
      </c>
    </row>
    <row r="121" spans="1:4" ht="16">
      <c r="A121" s="2">
        <v>45475</v>
      </c>
      <c r="B121" s="13">
        <f t="shared" si="1"/>
        <v>4.7513589691966951E-2</v>
      </c>
      <c r="C121" s="4">
        <v>3471.7856999999999</v>
      </c>
      <c r="D121" s="3">
        <v>1.0406</v>
      </c>
    </row>
    <row r="122" spans="1:4" ht="16">
      <c r="A122" s="2">
        <v>45476</v>
      </c>
      <c r="B122" s="13">
        <f t="shared" si="1"/>
        <v>4.6003623917857839E-2</v>
      </c>
      <c r="C122" s="4">
        <v>3463.4141</v>
      </c>
      <c r="D122" s="3">
        <v>1.0390999999999999</v>
      </c>
    </row>
    <row r="123" spans="1:4" ht="16">
      <c r="A123" s="2">
        <v>45477</v>
      </c>
      <c r="B123" s="13">
        <f t="shared" si="1"/>
        <v>4.5500301993154801E-2</v>
      </c>
      <c r="C123" s="4">
        <v>3445.8128000000002</v>
      </c>
      <c r="D123" s="3">
        <v>1.0386</v>
      </c>
    </row>
    <row r="124" spans="1:4" ht="16">
      <c r="A124" s="2">
        <v>45478</v>
      </c>
      <c r="B124" s="13">
        <f t="shared" si="1"/>
        <v>4.5802295147976624E-2</v>
      </c>
      <c r="C124" s="4">
        <v>3431.0605</v>
      </c>
      <c r="D124" s="3">
        <v>1.0388999999999999</v>
      </c>
    </row>
    <row r="125" spans="1:4" ht="16">
      <c r="A125" s="2">
        <v>45481</v>
      </c>
      <c r="B125" s="13">
        <f t="shared" si="1"/>
        <v>4.6506945842561098E-2</v>
      </c>
      <c r="C125" s="4">
        <v>3401.7604000000001</v>
      </c>
      <c r="D125" s="3">
        <v>1.0396000000000001</v>
      </c>
    </row>
    <row r="126" spans="1:4" ht="16">
      <c r="A126" s="2">
        <v>45482</v>
      </c>
      <c r="B126" s="13">
        <f t="shared" si="1"/>
        <v>4.8721562311254463E-2</v>
      </c>
      <c r="C126" s="4">
        <v>3439.8110999999999</v>
      </c>
      <c r="D126" s="3">
        <v>1.0418000000000001</v>
      </c>
    </row>
    <row r="127" spans="1:4" ht="16">
      <c r="A127" s="2">
        <v>45483</v>
      </c>
      <c r="B127" s="13">
        <f t="shared" si="1"/>
        <v>4.4091000603986297E-2</v>
      </c>
      <c r="C127" s="4">
        <v>3428.9657000000002</v>
      </c>
      <c r="D127" s="3">
        <v>1.0371999999999999</v>
      </c>
    </row>
    <row r="128" spans="1:4" ht="16">
      <c r="A128" s="2">
        <v>45484</v>
      </c>
      <c r="B128" s="13">
        <f t="shared" si="1"/>
        <v>4.6003623917857839E-2</v>
      </c>
      <c r="C128" s="4">
        <v>3468.1689999999999</v>
      </c>
      <c r="D128" s="3">
        <v>1.0390999999999999</v>
      </c>
    </row>
    <row r="129" spans="1:4" ht="16">
      <c r="A129" s="2">
        <v>45485</v>
      </c>
      <c r="B129" s="13">
        <f t="shared" si="1"/>
        <v>4.4191664988927126E-2</v>
      </c>
      <c r="C129" s="4">
        <v>3472.4014000000002</v>
      </c>
      <c r="D129" s="3">
        <v>1.0373000000000001</v>
      </c>
    </row>
    <row r="130" spans="1:4" ht="16">
      <c r="A130" s="2">
        <v>45488</v>
      </c>
      <c r="B130" s="13">
        <f t="shared" si="1"/>
        <v>4.6506945842561098E-2</v>
      </c>
      <c r="C130" s="4">
        <v>3476.2467000000001</v>
      </c>
      <c r="D130" s="3">
        <v>1.0396000000000001</v>
      </c>
    </row>
    <row r="131" spans="1:4" ht="16">
      <c r="A131" s="2">
        <v>45489</v>
      </c>
      <c r="B131" s="13">
        <f t="shared" si="1"/>
        <v>4.6204952687739054E-2</v>
      </c>
      <c r="C131" s="4">
        <v>3498.2827000000002</v>
      </c>
      <c r="D131" s="3">
        <v>1.0392999999999999</v>
      </c>
    </row>
    <row r="132" spans="1:4" ht="16">
      <c r="A132" s="2">
        <v>45490</v>
      </c>
      <c r="B132" s="13">
        <f t="shared" ref="B132:B195" si="2">D132/$D$2-1</f>
        <v>4.2077712905174147E-2</v>
      </c>
      <c r="C132" s="4">
        <v>3501.5835999999999</v>
      </c>
      <c r="D132" s="3">
        <v>1.0351999999999999</v>
      </c>
    </row>
    <row r="133" spans="1:4" ht="16">
      <c r="A133" s="2">
        <v>45491</v>
      </c>
      <c r="B133" s="13">
        <f t="shared" si="2"/>
        <v>4.3386349909402044E-2</v>
      </c>
      <c r="C133" s="4">
        <v>3520.931</v>
      </c>
      <c r="D133" s="3">
        <v>1.0365</v>
      </c>
    </row>
    <row r="134" spans="1:4" ht="16">
      <c r="A134" s="2">
        <v>45492</v>
      </c>
      <c r="B134" s="13">
        <f t="shared" si="2"/>
        <v>3.8453795047312278E-2</v>
      </c>
      <c r="C134" s="4">
        <v>3539.0156000000002</v>
      </c>
      <c r="D134" s="3">
        <v>1.0316000000000001</v>
      </c>
    </row>
    <row r="135" spans="1:4" ht="16">
      <c r="A135" s="2">
        <v>45495</v>
      </c>
      <c r="B135" s="13">
        <f t="shared" si="2"/>
        <v>3.6239178578619136E-2</v>
      </c>
      <c r="C135" s="4">
        <v>3514.9249</v>
      </c>
      <c r="D135" s="3">
        <v>1.0294000000000001</v>
      </c>
    </row>
    <row r="136" spans="1:4" ht="16">
      <c r="A136" s="2">
        <v>45496</v>
      </c>
      <c r="B136" s="13">
        <f t="shared" si="2"/>
        <v>3.2917253875578867E-2</v>
      </c>
      <c r="C136" s="4">
        <v>3439.8779</v>
      </c>
      <c r="D136" s="3">
        <v>1.0261</v>
      </c>
    </row>
    <row r="137" spans="1:4" ht="16">
      <c r="A137" s="2">
        <v>45497</v>
      </c>
      <c r="B137" s="13">
        <f t="shared" si="2"/>
        <v>3.3521240185222512E-2</v>
      </c>
      <c r="C137" s="4">
        <v>3418.1662999999999</v>
      </c>
      <c r="D137" s="3">
        <v>1.0266999999999999</v>
      </c>
    </row>
    <row r="138" spans="1:4" ht="16">
      <c r="A138" s="2">
        <v>45498</v>
      </c>
      <c r="B138" s="13">
        <f t="shared" si="2"/>
        <v>2.959532917253882E-2</v>
      </c>
      <c r="C138" s="4">
        <v>3399.2716</v>
      </c>
      <c r="D138" s="3">
        <v>1.0227999999999999</v>
      </c>
    </row>
    <row r="139" spans="1:4" ht="16">
      <c r="A139" s="2">
        <v>45499</v>
      </c>
      <c r="B139" s="13">
        <f t="shared" si="2"/>
        <v>2.9695993557479428E-2</v>
      </c>
      <c r="C139" s="4">
        <v>3409.2930999999999</v>
      </c>
      <c r="D139" s="3">
        <v>1.0228999999999999</v>
      </c>
    </row>
    <row r="140" spans="1:4" ht="16">
      <c r="A140" s="2">
        <v>45502</v>
      </c>
      <c r="B140" s="13">
        <f t="shared" si="2"/>
        <v>3.2111938796054007E-2</v>
      </c>
      <c r="C140" s="4">
        <v>3390.7420000000002</v>
      </c>
      <c r="D140" s="3">
        <v>1.0253000000000001</v>
      </c>
    </row>
    <row r="141" spans="1:4" ht="16">
      <c r="A141" s="2">
        <v>45503</v>
      </c>
      <c r="B141" s="13">
        <f t="shared" si="2"/>
        <v>2.9695993557479428E-2</v>
      </c>
      <c r="C141" s="4">
        <v>3369.3820999999998</v>
      </c>
      <c r="D141" s="3">
        <v>1.0228999999999999</v>
      </c>
    </row>
    <row r="142" spans="1:4" ht="16">
      <c r="A142" s="2">
        <v>45504</v>
      </c>
      <c r="B142" s="13">
        <f t="shared" si="2"/>
        <v>3.1507952486410362E-2</v>
      </c>
      <c r="C142" s="4">
        <v>3442.0844000000002</v>
      </c>
      <c r="D142" s="3">
        <v>1.0246999999999999</v>
      </c>
    </row>
    <row r="143" spans="1:4" ht="16">
      <c r="A143" s="2">
        <v>45505</v>
      </c>
      <c r="B143" s="13">
        <f t="shared" si="2"/>
        <v>3.2816589490638259E-2</v>
      </c>
      <c r="C143" s="4">
        <v>3419.2665999999999</v>
      </c>
      <c r="D143" s="3">
        <v>1.026</v>
      </c>
    </row>
    <row r="144" spans="1:4" ht="16">
      <c r="A144" s="2">
        <v>45506</v>
      </c>
      <c r="B144" s="13">
        <f t="shared" si="2"/>
        <v>3.120595933158854E-2</v>
      </c>
      <c r="C144" s="4">
        <v>3384.3919000000001</v>
      </c>
      <c r="D144" s="3">
        <v>1.0244</v>
      </c>
    </row>
    <row r="145" spans="1:4" ht="16">
      <c r="A145" s="2">
        <v>45509</v>
      </c>
      <c r="B145" s="13">
        <f t="shared" si="2"/>
        <v>2.838735655325153E-2</v>
      </c>
      <c r="C145" s="4">
        <v>3343.3204999999998</v>
      </c>
      <c r="D145" s="3">
        <v>1.0216000000000001</v>
      </c>
    </row>
    <row r="146" spans="1:4" ht="16">
      <c r="A146" s="2">
        <v>45510</v>
      </c>
      <c r="B146" s="13">
        <f t="shared" si="2"/>
        <v>2.6776726394201811E-2</v>
      </c>
      <c r="C146" s="4">
        <v>3342.9789000000001</v>
      </c>
      <c r="D146" s="3">
        <v>1.02</v>
      </c>
    </row>
    <row r="147" spans="1:4" ht="16">
      <c r="A147" s="2">
        <v>45511</v>
      </c>
      <c r="B147" s="13">
        <f t="shared" si="2"/>
        <v>2.8186027783370315E-2</v>
      </c>
      <c r="C147" s="4">
        <v>3341.489</v>
      </c>
      <c r="D147" s="3">
        <v>1.0214000000000001</v>
      </c>
    </row>
    <row r="148" spans="1:4" ht="16">
      <c r="A148" s="2">
        <v>45512</v>
      </c>
      <c r="B148" s="13">
        <f t="shared" si="2"/>
        <v>2.7380712703845456E-2</v>
      </c>
      <c r="C148" s="4">
        <v>3342.9369000000002</v>
      </c>
      <c r="D148" s="3">
        <v>1.0206</v>
      </c>
    </row>
    <row r="149" spans="1:4" ht="16">
      <c r="A149" s="2">
        <v>45513</v>
      </c>
      <c r="B149" s="13">
        <f t="shared" si="2"/>
        <v>2.7582041473726671E-2</v>
      </c>
      <c r="C149" s="4">
        <v>3331.6273999999999</v>
      </c>
      <c r="D149" s="3">
        <v>1.0207999999999999</v>
      </c>
    </row>
    <row r="150" spans="1:4" ht="16">
      <c r="A150" s="2">
        <v>45516</v>
      </c>
      <c r="B150" s="13">
        <f t="shared" si="2"/>
        <v>2.7783370243607663E-2</v>
      </c>
      <c r="C150" s="4">
        <v>3325.8645000000001</v>
      </c>
      <c r="D150" s="3">
        <v>1.0209999999999999</v>
      </c>
    </row>
    <row r="151" spans="1:4" ht="16">
      <c r="A151" s="2">
        <v>45517</v>
      </c>
      <c r="B151" s="13">
        <f t="shared" si="2"/>
        <v>2.7481377088786063E-2</v>
      </c>
      <c r="C151" s="4">
        <v>3334.3903</v>
      </c>
      <c r="D151" s="3">
        <v>1.0206999999999999</v>
      </c>
    </row>
    <row r="152" spans="1:4" ht="16">
      <c r="A152" s="2">
        <v>45518</v>
      </c>
      <c r="B152" s="13">
        <f t="shared" si="2"/>
        <v>2.7280048318904848E-2</v>
      </c>
      <c r="C152" s="4">
        <v>3309.2388999999998</v>
      </c>
      <c r="D152" s="3">
        <v>1.0205</v>
      </c>
    </row>
    <row r="153" spans="1:4" ht="16">
      <c r="A153" s="2">
        <v>45519</v>
      </c>
      <c r="B153" s="13">
        <f t="shared" si="2"/>
        <v>2.8689349708073353E-2</v>
      </c>
      <c r="C153" s="4">
        <v>3341.953</v>
      </c>
      <c r="D153" s="3">
        <v>1.0219</v>
      </c>
    </row>
    <row r="154" spans="1:4" ht="16">
      <c r="A154" s="2">
        <v>45520</v>
      </c>
      <c r="B154" s="13">
        <f t="shared" si="2"/>
        <v>2.8286692168310923E-2</v>
      </c>
      <c r="C154" s="4">
        <v>3345.634</v>
      </c>
      <c r="D154" s="3">
        <v>1.0215000000000001</v>
      </c>
    </row>
    <row r="155" spans="1:4" ht="16">
      <c r="A155" s="2">
        <v>45523</v>
      </c>
      <c r="B155" s="13">
        <f t="shared" si="2"/>
        <v>2.959532917253882E-2</v>
      </c>
      <c r="C155" s="4">
        <v>3356.9677000000001</v>
      </c>
      <c r="D155" s="3">
        <v>1.0227999999999999</v>
      </c>
    </row>
    <row r="156" spans="1:4" ht="16">
      <c r="A156" s="2">
        <v>45524</v>
      </c>
      <c r="B156" s="13">
        <f t="shared" si="2"/>
        <v>2.8286692168310923E-2</v>
      </c>
      <c r="C156" s="4">
        <v>3332.7033999999999</v>
      </c>
      <c r="D156" s="3">
        <v>1.0215000000000001</v>
      </c>
    </row>
    <row r="157" spans="1:4" ht="16">
      <c r="A157" s="2">
        <v>45525</v>
      </c>
      <c r="B157" s="13">
        <f t="shared" si="2"/>
        <v>2.6776726394201811E-2</v>
      </c>
      <c r="C157" s="4">
        <v>3321.6350000000002</v>
      </c>
      <c r="D157" s="3">
        <v>1.02</v>
      </c>
    </row>
    <row r="158" spans="1:4" ht="16">
      <c r="A158" s="2">
        <v>45526</v>
      </c>
      <c r="B158" s="13">
        <f t="shared" si="2"/>
        <v>2.7280048318904848E-2</v>
      </c>
      <c r="C158" s="4">
        <v>3313.1356999999998</v>
      </c>
      <c r="D158" s="3">
        <v>1.0205</v>
      </c>
    </row>
    <row r="159" spans="1:4" ht="16">
      <c r="A159" s="2">
        <v>45527</v>
      </c>
      <c r="B159" s="13">
        <f t="shared" si="2"/>
        <v>2.6273404469498773E-2</v>
      </c>
      <c r="C159" s="4">
        <v>3327.1905000000002</v>
      </c>
      <c r="D159" s="3">
        <v>1.0195000000000001</v>
      </c>
    </row>
    <row r="160" spans="1:4" ht="16">
      <c r="A160" s="2">
        <v>45530</v>
      </c>
      <c r="B160" s="13">
        <f t="shared" si="2"/>
        <v>2.6474733239379988E-2</v>
      </c>
      <c r="C160" s="4">
        <v>3324.2231000000002</v>
      </c>
      <c r="D160" s="3">
        <v>1.0197000000000001</v>
      </c>
    </row>
    <row r="161" spans="1:4" ht="16">
      <c r="A161" s="2">
        <v>45531</v>
      </c>
      <c r="B161" s="13">
        <f t="shared" si="2"/>
        <v>2.7179383933964241E-2</v>
      </c>
      <c r="C161" s="4">
        <v>3305.3337999999999</v>
      </c>
      <c r="D161" s="3">
        <v>1.0204</v>
      </c>
    </row>
    <row r="162" spans="1:4" ht="16">
      <c r="A162" s="2">
        <v>45532</v>
      </c>
      <c r="B162" s="13">
        <f t="shared" si="2"/>
        <v>2.6474733239379988E-2</v>
      </c>
      <c r="C162" s="4">
        <v>3286.4956000000002</v>
      </c>
      <c r="D162" s="3">
        <v>1.0197000000000001</v>
      </c>
    </row>
    <row r="163" spans="1:4" ht="16">
      <c r="A163" s="2">
        <v>45533</v>
      </c>
      <c r="B163" s="13">
        <f t="shared" si="2"/>
        <v>2.4562109925508446E-2</v>
      </c>
      <c r="C163" s="4">
        <v>3277.6812</v>
      </c>
      <c r="D163" s="3">
        <v>1.0178</v>
      </c>
    </row>
    <row r="164" spans="1:4" ht="16">
      <c r="A164" s="2">
        <v>45534</v>
      </c>
      <c r="B164" s="13">
        <f t="shared" si="2"/>
        <v>2.4159452385746016E-2</v>
      </c>
      <c r="C164" s="4">
        <v>3321.4322999999999</v>
      </c>
      <c r="D164" s="3">
        <v>1.0174000000000001</v>
      </c>
    </row>
    <row r="165" spans="1:4" ht="16">
      <c r="A165" s="2">
        <v>45537</v>
      </c>
      <c r="B165" s="13">
        <f t="shared" si="2"/>
        <v>2.4964767465270876E-2</v>
      </c>
      <c r="C165" s="4">
        <v>3265.011</v>
      </c>
      <c r="D165" s="3">
        <v>1.0182</v>
      </c>
    </row>
    <row r="166" spans="1:4" ht="16">
      <c r="A166" s="2">
        <v>45538</v>
      </c>
      <c r="B166" s="13">
        <f t="shared" si="2"/>
        <v>2.2548822226696297E-2</v>
      </c>
      <c r="C166" s="4">
        <v>3273.4281999999998</v>
      </c>
      <c r="D166" s="3">
        <v>1.0158</v>
      </c>
    </row>
    <row r="167" spans="1:4" ht="16">
      <c r="A167" s="2">
        <v>45539</v>
      </c>
      <c r="B167" s="13">
        <f t="shared" si="2"/>
        <v>2.0636198912824755E-2</v>
      </c>
      <c r="C167" s="4">
        <v>3252.1649000000002</v>
      </c>
      <c r="D167" s="3">
        <v>1.0139</v>
      </c>
    </row>
    <row r="168" spans="1:4" ht="16">
      <c r="A168" s="2">
        <v>45540</v>
      </c>
      <c r="B168" s="13">
        <f t="shared" si="2"/>
        <v>1.9428226293537243E-2</v>
      </c>
      <c r="C168" s="4">
        <v>3257.7577999999999</v>
      </c>
      <c r="D168" s="3">
        <v>1.0126999999999999</v>
      </c>
    </row>
    <row r="169" spans="1:4" ht="16">
      <c r="A169" s="2">
        <v>45541</v>
      </c>
      <c r="B169" s="13">
        <f t="shared" si="2"/>
        <v>1.8723575598953213E-2</v>
      </c>
      <c r="C169" s="4">
        <v>3231.3456999999999</v>
      </c>
      <c r="D169" s="3">
        <v>1.012</v>
      </c>
    </row>
    <row r="170" spans="1:4" ht="16">
      <c r="A170" s="2">
        <v>45544</v>
      </c>
      <c r="B170" s="13">
        <f t="shared" si="2"/>
        <v>1.6408294745319241E-2</v>
      </c>
      <c r="C170" s="4">
        <v>3192.9515999999999</v>
      </c>
      <c r="D170" s="3">
        <v>1.0097</v>
      </c>
    </row>
    <row r="171" spans="1:4" ht="16">
      <c r="A171" s="2">
        <v>45545</v>
      </c>
      <c r="B171" s="13">
        <f t="shared" si="2"/>
        <v>1.6106301590497418E-2</v>
      </c>
      <c r="C171" s="4">
        <v>3195.7552000000001</v>
      </c>
      <c r="D171" s="3">
        <v>1.0094000000000001</v>
      </c>
    </row>
    <row r="172" spans="1:4" ht="16">
      <c r="A172" s="2">
        <v>45546</v>
      </c>
      <c r="B172" s="13">
        <f t="shared" si="2"/>
        <v>1.2482383732635549E-2</v>
      </c>
      <c r="C172" s="4">
        <v>3186.1298999999999</v>
      </c>
      <c r="D172" s="3">
        <v>1.0058</v>
      </c>
    </row>
    <row r="173" spans="1:4" ht="16">
      <c r="A173" s="2">
        <v>45547</v>
      </c>
      <c r="B173" s="13">
        <f t="shared" si="2"/>
        <v>1.3086370042278972E-2</v>
      </c>
      <c r="C173" s="4">
        <v>3172.4747000000002</v>
      </c>
      <c r="D173" s="3">
        <v>1.0064</v>
      </c>
    </row>
    <row r="174" spans="1:4" ht="16">
      <c r="A174" s="2">
        <v>45548</v>
      </c>
      <c r="B174" s="13">
        <f t="shared" si="2"/>
        <v>1.3589691966982009E-2</v>
      </c>
      <c r="C174" s="4">
        <v>3159.2469999999998</v>
      </c>
      <c r="D174" s="3">
        <v>1.0068999999999999</v>
      </c>
    </row>
    <row r="175" spans="1:4" ht="16">
      <c r="A175" s="2">
        <v>45553</v>
      </c>
      <c r="B175" s="13">
        <f t="shared" si="2"/>
        <v>1.5200322126031729E-2</v>
      </c>
      <c r="C175" s="4">
        <v>3171.0102000000002</v>
      </c>
      <c r="D175" s="3">
        <v>1.0085</v>
      </c>
    </row>
    <row r="176" spans="1:4" ht="16">
      <c r="A176" s="2">
        <v>45554</v>
      </c>
      <c r="B176" s="13">
        <f t="shared" si="2"/>
        <v>1.6810952285081671E-2</v>
      </c>
      <c r="C176" s="4">
        <v>3196.0356999999999</v>
      </c>
      <c r="D176" s="3">
        <v>1.0101</v>
      </c>
    </row>
    <row r="177" spans="1:4" ht="16">
      <c r="A177" s="2">
        <v>45555</v>
      </c>
      <c r="B177" s="13">
        <f t="shared" si="2"/>
        <v>1.8220253674250175E-2</v>
      </c>
      <c r="C177" s="4">
        <v>3201.0497</v>
      </c>
      <c r="D177" s="3">
        <v>1.0115000000000001</v>
      </c>
    </row>
    <row r="178" spans="1:4" ht="16">
      <c r="A178" s="2">
        <v>45558</v>
      </c>
      <c r="B178" s="13">
        <f t="shared" si="2"/>
        <v>1.9730219448359065E-2</v>
      </c>
      <c r="C178" s="4">
        <v>3212.7638999999999</v>
      </c>
      <c r="D178" s="3">
        <v>1.0129999999999999</v>
      </c>
    </row>
    <row r="179" spans="1:4" ht="16">
      <c r="A179" s="2">
        <v>45559</v>
      </c>
      <c r="B179" s="13">
        <f t="shared" si="2"/>
        <v>2.5568753774914521E-2</v>
      </c>
      <c r="C179" s="4">
        <v>3351.9090000000001</v>
      </c>
      <c r="D179" s="3">
        <v>1.0187999999999999</v>
      </c>
    </row>
    <row r="180" spans="1:4" ht="16">
      <c r="A180" s="2">
        <v>45560</v>
      </c>
      <c r="B180" s="13">
        <f t="shared" si="2"/>
        <v>2.7280048318904848E-2</v>
      </c>
      <c r="C180" s="4">
        <v>3401.5329999999999</v>
      </c>
      <c r="D180" s="3">
        <v>1.0205</v>
      </c>
    </row>
    <row r="181" spans="1:4" ht="16">
      <c r="A181" s="2">
        <v>45561</v>
      </c>
      <c r="B181" s="13">
        <f t="shared" si="2"/>
        <v>3.1910610026172792E-2</v>
      </c>
      <c r="C181" s="4">
        <v>3545.3204000000001</v>
      </c>
      <c r="D181" s="3">
        <v>1.0250999999999999</v>
      </c>
    </row>
    <row r="182" spans="1:4" ht="16">
      <c r="A182" s="2">
        <v>45562</v>
      </c>
      <c r="B182" s="13">
        <f t="shared" si="2"/>
        <v>3.4628548419569194E-2</v>
      </c>
      <c r="C182" s="4">
        <v>3703.6849000000002</v>
      </c>
      <c r="D182" s="3">
        <v>1.0278</v>
      </c>
    </row>
    <row r="183" spans="1:4" ht="16">
      <c r="A183" s="2">
        <v>45565</v>
      </c>
      <c r="B183" s="13">
        <f t="shared" si="2"/>
        <v>4.5097644453392371E-2</v>
      </c>
      <c r="C183" s="4">
        <v>4017.8544999999999</v>
      </c>
      <c r="D183" s="3">
        <v>1.0382</v>
      </c>
    </row>
    <row r="184" spans="1:4" ht="16">
      <c r="A184" s="2">
        <v>45573</v>
      </c>
      <c r="B184" s="13">
        <f t="shared" si="2"/>
        <v>4.5802295147976624E-2</v>
      </c>
      <c r="C184" s="4">
        <v>4256.0962</v>
      </c>
      <c r="D184" s="3">
        <v>1.0388999999999999</v>
      </c>
    </row>
    <row r="185" spans="1:4" ht="16">
      <c r="A185" s="2">
        <v>45574</v>
      </c>
      <c r="B185" s="13">
        <f t="shared" si="2"/>
        <v>3.5232534729212839E-2</v>
      </c>
      <c r="C185" s="4">
        <v>3955.9839000000002</v>
      </c>
      <c r="D185" s="3">
        <v>1.0284</v>
      </c>
    </row>
    <row r="186" spans="1:4" ht="16">
      <c r="A186" s="2">
        <v>45575</v>
      </c>
      <c r="B186" s="13">
        <f t="shared" si="2"/>
        <v>3.8353130662371893E-2</v>
      </c>
      <c r="C186" s="4">
        <v>3997.7878999999998</v>
      </c>
      <c r="D186" s="3">
        <v>1.0315000000000001</v>
      </c>
    </row>
    <row r="187" spans="1:4" ht="16">
      <c r="A187" s="2">
        <v>45576</v>
      </c>
      <c r="B187" s="13">
        <f t="shared" si="2"/>
        <v>3.8151801892490678E-2</v>
      </c>
      <c r="C187" s="4">
        <v>3887.1669999999999</v>
      </c>
      <c r="D187" s="3">
        <v>1.0313000000000001</v>
      </c>
    </row>
    <row r="188" spans="1:4" ht="16">
      <c r="A188" s="2">
        <v>45579</v>
      </c>
      <c r="B188" s="13">
        <f t="shared" si="2"/>
        <v>4.2077712905174147E-2</v>
      </c>
      <c r="C188" s="4">
        <v>3961.3424</v>
      </c>
      <c r="D188" s="3">
        <v>1.0351999999999999</v>
      </c>
    </row>
    <row r="189" spans="1:4" ht="16">
      <c r="A189" s="2">
        <v>45580</v>
      </c>
      <c r="B189" s="13">
        <f t="shared" si="2"/>
        <v>3.7447151197906203E-2</v>
      </c>
      <c r="C189" s="4">
        <v>3855.9949000000001</v>
      </c>
      <c r="D189" s="3">
        <v>1.0306</v>
      </c>
    </row>
    <row r="190" spans="1:4" ht="16">
      <c r="A190" s="2">
        <v>45581</v>
      </c>
      <c r="B190" s="13">
        <f t="shared" si="2"/>
        <v>4.0064425206361998E-2</v>
      </c>
      <c r="C190" s="4">
        <v>3831.5889999999999</v>
      </c>
      <c r="D190" s="3">
        <v>1.0331999999999999</v>
      </c>
    </row>
    <row r="191" spans="1:4" ht="16">
      <c r="A191" s="2">
        <v>45582</v>
      </c>
      <c r="B191" s="13">
        <f t="shared" si="2"/>
        <v>3.8051137507549848E-2</v>
      </c>
      <c r="C191" s="4">
        <v>3788.2217000000001</v>
      </c>
      <c r="D191" s="3">
        <v>1.0311999999999999</v>
      </c>
    </row>
    <row r="192" spans="1:4" ht="16">
      <c r="A192" s="2">
        <v>45583</v>
      </c>
      <c r="B192" s="13">
        <f t="shared" si="2"/>
        <v>4.0668411516005643E-2</v>
      </c>
      <c r="C192" s="4">
        <v>3925.2339999999999</v>
      </c>
      <c r="D192" s="3">
        <v>1.0338000000000001</v>
      </c>
    </row>
    <row r="193" spans="1:4" ht="16">
      <c r="A193" s="2">
        <v>45586</v>
      </c>
      <c r="B193" s="13">
        <f t="shared" si="2"/>
        <v>4.157439098047111E-2</v>
      </c>
      <c r="C193" s="4">
        <v>3935.1974</v>
      </c>
      <c r="D193" s="3">
        <v>1.0347</v>
      </c>
    </row>
    <row r="194" spans="1:4" ht="16">
      <c r="A194" s="2">
        <v>45587</v>
      </c>
      <c r="B194" s="13">
        <f t="shared" si="2"/>
        <v>4.2983692369639614E-2</v>
      </c>
      <c r="C194" s="4">
        <v>3957.7755000000002</v>
      </c>
      <c r="D194" s="3">
        <v>1.0361</v>
      </c>
    </row>
    <row r="195" spans="1:4" ht="16">
      <c r="A195" s="2">
        <v>45588</v>
      </c>
      <c r="B195" s="13">
        <f t="shared" si="2"/>
        <v>4.3185021139520829E-2</v>
      </c>
      <c r="C195" s="4">
        <v>3973.2089000000001</v>
      </c>
      <c r="D195" s="3">
        <v>1.0363</v>
      </c>
    </row>
    <row r="196" spans="1:4" ht="16">
      <c r="A196" s="2">
        <v>45589</v>
      </c>
      <c r="B196" s="13">
        <f t="shared" ref="B196:B217" si="3">D196/$D$2-1</f>
        <v>4.2178377290114977E-2</v>
      </c>
      <c r="C196" s="4">
        <v>3928.8334</v>
      </c>
      <c r="D196" s="3">
        <v>1.0353000000000001</v>
      </c>
    </row>
    <row r="197" spans="1:4" ht="16">
      <c r="A197" s="2">
        <v>45590</v>
      </c>
      <c r="B197" s="13">
        <f t="shared" si="3"/>
        <v>3.996376082142139E-2</v>
      </c>
      <c r="C197" s="4">
        <v>3956.4209999999998</v>
      </c>
      <c r="D197" s="3">
        <v>1.0330999999999999</v>
      </c>
    </row>
    <row r="198" spans="1:4" ht="16">
      <c r="A198" s="2">
        <v>45593</v>
      </c>
      <c r="B198" s="13">
        <f t="shared" si="3"/>
        <v>4.0567747131065035E-2</v>
      </c>
      <c r="C198" s="4">
        <v>3964.1569</v>
      </c>
      <c r="D198" s="3">
        <v>1.0337000000000001</v>
      </c>
    </row>
    <row r="199" spans="1:4" ht="16">
      <c r="A199" s="2">
        <v>45594</v>
      </c>
      <c r="B199" s="13">
        <f t="shared" si="3"/>
        <v>4.0064425206361998E-2</v>
      </c>
      <c r="C199" s="4">
        <v>3924.6489999999999</v>
      </c>
      <c r="D199" s="3">
        <v>1.0331999999999999</v>
      </c>
    </row>
    <row r="200" spans="1:4" ht="16">
      <c r="A200" s="2">
        <v>45595</v>
      </c>
      <c r="B200" s="13">
        <f t="shared" si="3"/>
        <v>3.7950473122609241E-2</v>
      </c>
      <c r="C200" s="4">
        <v>3889.4486999999999</v>
      </c>
      <c r="D200" s="3">
        <v>1.0310999999999999</v>
      </c>
    </row>
    <row r="201" spans="1:4" ht="16">
      <c r="A201" s="2">
        <v>45596</v>
      </c>
      <c r="B201" s="13">
        <f t="shared" si="3"/>
        <v>3.6843164888262558E-2</v>
      </c>
      <c r="C201" s="4">
        <v>3891.0396000000001</v>
      </c>
      <c r="D201" s="3">
        <v>1.03</v>
      </c>
    </row>
    <row r="202" spans="1:4" ht="16">
      <c r="A202" s="2">
        <v>45597</v>
      </c>
      <c r="B202" s="13">
        <f t="shared" si="3"/>
        <v>3.9863096436480783E-2</v>
      </c>
      <c r="C202" s="4">
        <v>3890.0203000000001</v>
      </c>
      <c r="D202" s="3">
        <v>1.0329999999999999</v>
      </c>
    </row>
    <row r="203" spans="1:4" ht="16">
      <c r="A203" s="2">
        <v>45600</v>
      </c>
      <c r="B203" s="13">
        <f t="shared" si="3"/>
        <v>4.1272397825649287E-2</v>
      </c>
      <c r="C203" s="4">
        <v>3944.7619</v>
      </c>
      <c r="D203" s="3">
        <v>1.0344</v>
      </c>
    </row>
    <row r="204" spans="1:4" ht="16">
      <c r="A204" s="2">
        <v>45601</v>
      </c>
      <c r="B204" s="13">
        <f t="shared" si="3"/>
        <v>4.3688343064223867E-2</v>
      </c>
      <c r="C204" s="4">
        <v>4044.5725000000002</v>
      </c>
      <c r="D204" s="3">
        <v>1.0367999999999999</v>
      </c>
    </row>
    <row r="205" spans="1:4" ht="16">
      <c r="A205" s="2">
        <v>45602</v>
      </c>
      <c r="B205" s="13">
        <f t="shared" si="3"/>
        <v>4.27823635997584E-2</v>
      </c>
      <c r="C205" s="4">
        <v>4024.2831000000001</v>
      </c>
      <c r="D205" s="3">
        <v>1.0359</v>
      </c>
    </row>
    <row r="206" spans="1:4" ht="16">
      <c r="A206" s="2">
        <v>45603</v>
      </c>
      <c r="B206" s="13">
        <f t="shared" si="3"/>
        <v>4.6104288302798446E-2</v>
      </c>
      <c r="C206" s="4">
        <v>4145.6952000000001</v>
      </c>
      <c r="D206" s="3">
        <v>1.0391999999999999</v>
      </c>
    </row>
    <row r="207" spans="1:4" ht="16">
      <c r="A207" s="2">
        <v>45604</v>
      </c>
      <c r="B207" s="13">
        <f t="shared" si="3"/>
        <v>4.4493658143748949E-2</v>
      </c>
      <c r="C207" s="4">
        <v>4104.0469999999996</v>
      </c>
      <c r="D207" s="3">
        <v>1.0376000000000001</v>
      </c>
    </row>
    <row r="208" spans="1:4" ht="16">
      <c r="A208" s="2">
        <v>45607</v>
      </c>
      <c r="B208" s="13">
        <f t="shared" si="3"/>
        <v>4.1876384135292932E-2</v>
      </c>
      <c r="C208" s="4">
        <v>4131.1311999999998</v>
      </c>
      <c r="D208" s="3">
        <v>1.0349999999999999</v>
      </c>
    </row>
    <row r="209" spans="1:4" ht="16">
      <c r="A209" s="2">
        <v>45608</v>
      </c>
      <c r="B209" s="13">
        <f t="shared" si="3"/>
        <v>3.915844574189653E-2</v>
      </c>
      <c r="C209" s="4">
        <v>4085.7429999999999</v>
      </c>
      <c r="D209" s="3">
        <v>1.0323</v>
      </c>
    </row>
    <row r="210" spans="1:4" ht="16">
      <c r="A210" s="2">
        <v>45609</v>
      </c>
      <c r="B210" s="13">
        <f t="shared" si="3"/>
        <v>4.0265753976243435E-2</v>
      </c>
      <c r="C210" s="4">
        <v>4110.8900999999996</v>
      </c>
      <c r="D210" s="3">
        <v>1.0334000000000001</v>
      </c>
    </row>
    <row r="211" spans="1:4" ht="16">
      <c r="A211" s="2">
        <v>45610</v>
      </c>
      <c r="B211" s="13">
        <f t="shared" si="3"/>
        <v>3.7849808737668633E-2</v>
      </c>
      <c r="C211" s="4">
        <v>4039.6190999999999</v>
      </c>
      <c r="D211" s="3">
        <v>1.0309999999999999</v>
      </c>
    </row>
    <row r="212" spans="1:4" ht="16">
      <c r="A212" s="2">
        <v>45611</v>
      </c>
      <c r="B212" s="13">
        <f t="shared" si="3"/>
        <v>3.7447151197906203E-2</v>
      </c>
      <c r="C212" s="4">
        <v>3968.8308000000002</v>
      </c>
      <c r="D212" s="3">
        <v>1.0306</v>
      </c>
    </row>
    <row r="213" spans="1:4" ht="16">
      <c r="A213" s="2">
        <v>45614</v>
      </c>
      <c r="B213" s="13">
        <f t="shared" si="3"/>
        <v>3.7346486812965596E-2</v>
      </c>
      <c r="C213" s="4">
        <v>3950.3806</v>
      </c>
      <c r="D213" s="3">
        <v>1.0305</v>
      </c>
    </row>
    <row r="214" spans="1:4" ht="16">
      <c r="A214" s="2">
        <v>45615</v>
      </c>
      <c r="B214" s="13">
        <f t="shared" si="3"/>
        <v>3.8252466277431285E-2</v>
      </c>
      <c r="C214" s="4">
        <v>3976.8912</v>
      </c>
      <c r="D214" s="3">
        <v>1.0314000000000001</v>
      </c>
    </row>
    <row r="215" spans="1:4" ht="16">
      <c r="A215" s="2">
        <v>45616</v>
      </c>
      <c r="B215" s="13">
        <f t="shared" si="3"/>
        <v>3.9661767666599568E-2</v>
      </c>
      <c r="C215" s="4">
        <v>3985.7727</v>
      </c>
      <c r="D215" s="3">
        <v>1.0327999999999999</v>
      </c>
    </row>
    <row r="216" spans="1:4" ht="16">
      <c r="A216" s="2">
        <v>45617</v>
      </c>
      <c r="B216" s="13">
        <f t="shared" si="3"/>
        <v>4.046708274612465E-2</v>
      </c>
      <c r="C216" s="4">
        <v>3989.2979</v>
      </c>
      <c r="D216" s="3">
        <v>1.0336000000000001</v>
      </c>
    </row>
    <row r="217" spans="1:4" ht="16">
      <c r="A217" s="2">
        <v>45618</v>
      </c>
      <c r="B217" s="13">
        <f t="shared" si="3"/>
        <v>3.5433863499094054E-2</v>
      </c>
      <c r="C217" s="4">
        <v>3865.6988999999999</v>
      </c>
      <c r="D217" s="3">
        <v>1.0286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A855-5502-4350-8E14-2E26BC8E7E02}">
  <sheetPr codeName="Sheet4"/>
  <dimension ref="A1:K217"/>
  <sheetViews>
    <sheetView tabSelected="1" topLeftCell="A193" workbookViewId="0">
      <selection activeCell="J35" sqref="J35"/>
    </sheetView>
  </sheetViews>
  <sheetFormatPr baseColWidth="10" defaultColWidth="8.83203125" defaultRowHeight="15"/>
  <cols>
    <col min="1" max="1" width="12.1640625" bestFit="1" customWidth="1"/>
    <col min="2" max="2" width="14.83203125" bestFit="1" customWidth="1"/>
    <col min="3" max="3" width="20.33203125" bestFit="1" customWidth="1"/>
    <col min="4" max="4" width="20" customWidth="1"/>
    <col min="5" max="5" width="28.6640625" bestFit="1" customWidth="1"/>
    <col min="6" max="6" width="13.5" customWidth="1"/>
    <col min="7" max="7" width="18.83203125" bestFit="1" customWidth="1"/>
  </cols>
  <sheetData>
    <row r="1" spans="1:7" ht="17">
      <c r="A1" s="1" t="s">
        <v>3</v>
      </c>
      <c r="B1" s="1" t="s">
        <v>6</v>
      </c>
      <c r="C1" s="1" t="s">
        <v>5</v>
      </c>
      <c r="D1" s="1" t="s">
        <v>10</v>
      </c>
      <c r="E1" s="1" t="s">
        <v>8</v>
      </c>
      <c r="F1" s="1" t="s">
        <v>9</v>
      </c>
      <c r="G1" s="1" t="s">
        <v>7</v>
      </c>
    </row>
    <row r="2" spans="1:7" ht="16">
      <c r="A2" s="2">
        <v>45289</v>
      </c>
      <c r="B2" s="5">
        <v>0.109708</v>
      </c>
      <c r="C2" s="4">
        <v>3431.1098999999999</v>
      </c>
      <c r="D2" s="4">
        <v>1.1094170000000001</v>
      </c>
      <c r="E2" s="4">
        <v>229.8451</v>
      </c>
      <c r="F2" s="5">
        <v>1.088781</v>
      </c>
      <c r="G2" s="5">
        <v>0.29496899999999998</v>
      </c>
    </row>
    <row r="3" spans="1:7" ht="16">
      <c r="A3" s="2">
        <v>45293</v>
      </c>
      <c r="B3" s="5">
        <v>0.11035399999999999</v>
      </c>
      <c r="C3" s="4">
        <v>3386.3521999999998</v>
      </c>
      <c r="D3" s="4">
        <v>1.1001000000000001</v>
      </c>
      <c r="E3" s="4">
        <v>229.88749999999999</v>
      </c>
      <c r="F3" s="5">
        <v>1.0825389999999999</v>
      </c>
      <c r="G3" s="5">
        <v>0.29361799999999999</v>
      </c>
    </row>
    <row r="4" spans="1:7" ht="16">
      <c r="A4" s="2">
        <v>45294</v>
      </c>
      <c r="B4" s="5">
        <v>0.111734</v>
      </c>
      <c r="C4" s="4">
        <v>3378.2970999999998</v>
      </c>
      <c r="D4" s="4">
        <v>1.098719</v>
      </c>
      <c r="E4" s="4">
        <v>229.8373</v>
      </c>
      <c r="F4" s="5">
        <v>1.1656979999999999</v>
      </c>
      <c r="G4" s="5">
        <v>0.29318499999999997</v>
      </c>
    </row>
    <row r="5" spans="1:7" ht="16">
      <c r="A5" s="2">
        <v>45295</v>
      </c>
      <c r="B5" s="5">
        <v>0.11276700000000001</v>
      </c>
      <c r="C5" s="4">
        <v>3347.0518999999999</v>
      </c>
      <c r="D5" s="4">
        <v>1.1054360000000001</v>
      </c>
      <c r="E5" s="4">
        <v>229.9325</v>
      </c>
      <c r="F5" s="5">
        <v>1.0841810000000001</v>
      </c>
      <c r="G5" s="5">
        <v>0.292846</v>
      </c>
    </row>
    <row r="6" spans="1:7" ht="16">
      <c r="A6" s="2">
        <v>45296</v>
      </c>
      <c r="B6" s="5">
        <v>0.11486200000000001</v>
      </c>
      <c r="C6" s="4">
        <v>3329.1113999999998</v>
      </c>
      <c r="D6" s="4">
        <v>1.0708709999999999</v>
      </c>
      <c r="E6" s="4">
        <v>230.09460000000001</v>
      </c>
      <c r="F6" s="5">
        <v>1.0857079999999999</v>
      </c>
      <c r="G6" s="5">
        <v>0.29270400000000002</v>
      </c>
    </row>
    <row r="7" spans="1:7" ht="16">
      <c r="A7" s="2">
        <v>45299</v>
      </c>
      <c r="B7" s="5">
        <v>0.11003499999999999</v>
      </c>
      <c r="C7" s="4">
        <v>3286.0563999999999</v>
      </c>
      <c r="D7" s="4">
        <v>1.0968039999999999</v>
      </c>
      <c r="E7" s="4">
        <v>230.1884</v>
      </c>
      <c r="F7" s="5">
        <v>1.0874729999999999</v>
      </c>
      <c r="G7" s="5">
        <v>0.29276999999999997</v>
      </c>
    </row>
    <row r="8" spans="1:7" ht="16">
      <c r="A8" s="2">
        <v>45300</v>
      </c>
      <c r="B8" s="5">
        <v>0.115749</v>
      </c>
      <c r="C8" s="4">
        <v>3292.4994000000002</v>
      </c>
      <c r="D8" s="4">
        <v>1.089224</v>
      </c>
      <c r="E8" s="4">
        <v>230.4195</v>
      </c>
      <c r="F8" s="5">
        <v>1.0865020000000001</v>
      </c>
      <c r="G8" s="5">
        <v>0.29295500000000002</v>
      </c>
    </row>
    <row r="9" spans="1:7" ht="16">
      <c r="A9" s="2">
        <v>45301</v>
      </c>
      <c r="B9" s="5">
        <v>0.114744</v>
      </c>
      <c r="C9" s="4">
        <v>3277.1289999999999</v>
      </c>
      <c r="D9" s="4">
        <v>1.083923</v>
      </c>
      <c r="E9" s="4">
        <v>230.4444</v>
      </c>
      <c r="F9" s="5">
        <v>1.086538</v>
      </c>
      <c r="G9" s="5">
        <v>0.29310399999999998</v>
      </c>
    </row>
    <row r="10" spans="1:7" ht="16">
      <c r="A10" s="2">
        <v>45302</v>
      </c>
      <c r="B10" s="5">
        <v>0.114895</v>
      </c>
      <c r="C10" s="4">
        <v>3295.6716999999999</v>
      </c>
      <c r="D10" s="4">
        <v>1.0831869999999999</v>
      </c>
      <c r="E10" s="4">
        <v>230.46209999999999</v>
      </c>
      <c r="F10" s="5">
        <v>1.0865910000000001</v>
      </c>
      <c r="G10" s="5">
        <v>0.29335499999999998</v>
      </c>
    </row>
    <row r="11" spans="1:7" ht="16">
      <c r="A11" s="2">
        <v>45303</v>
      </c>
      <c r="B11" s="5">
        <v>0.115533</v>
      </c>
      <c r="C11" s="4">
        <v>3284.1667000000002</v>
      </c>
      <c r="D11" s="4">
        <v>1.0219800000000001</v>
      </c>
      <c r="E11" s="4">
        <v>230.4332</v>
      </c>
      <c r="F11" s="5">
        <v>1.08646</v>
      </c>
      <c r="G11" s="5">
        <v>0.29278300000000002</v>
      </c>
    </row>
    <row r="12" spans="1:7" ht="16">
      <c r="A12" s="2">
        <v>45306</v>
      </c>
      <c r="B12" s="5">
        <v>0.11586399999999999</v>
      </c>
      <c r="C12" s="4">
        <v>3280.9195</v>
      </c>
      <c r="D12" s="4">
        <v>1.015873</v>
      </c>
      <c r="E12" s="4">
        <v>230.4873</v>
      </c>
      <c r="F12" s="5">
        <v>1.086436</v>
      </c>
      <c r="G12" s="5">
        <v>0.29270000000000002</v>
      </c>
    </row>
    <row r="13" spans="1:7" ht="16">
      <c r="A13" s="2">
        <v>45307</v>
      </c>
      <c r="B13" s="5">
        <v>0.11617</v>
      </c>
      <c r="C13" s="4">
        <v>3300.8762000000002</v>
      </c>
      <c r="D13" s="4">
        <v>1.017617</v>
      </c>
      <c r="E13" s="4">
        <v>230.4982</v>
      </c>
      <c r="F13" s="5">
        <v>1.056486</v>
      </c>
      <c r="G13" s="5">
        <v>0.29233399999999998</v>
      </c>
    </row>
    <row r="14" spans="1:7" ht="16">
      <c r="A14" s="2">
        <v>45308</v>
      </c>
      <c r="B14" s="5">
        <v>0.11522399999999999</v>
      </c>
      <c r="C14" s="4">
        <v>3229.0819999999999</v>
      </c>
      <c r="D14" s="4">
        <v>1.0450839999999999</v>
      </c>
      <c r="E14" s="4">
        <v>230.57650000000001</v>
      </c>
      <c r="F14" s="5">
        <v>1.1146940000000001</v>
      </c>
      <c r="G14" s="5">
        <v>0.29277900000000001</v>
      </c>
    </row>
    <row r="15" spans="1:7" ht="16">
      <c r="A15" s="2">
        <v>45309</v>
      </c>
      <c r="B15" s="5">
        <v>0.114343</v>
      </c>
      <c r="C15" s="4">
        <v>3274.7285999999999</v>
      </c>
      <c r="D15" s="4">
        <v>1.0778749999999999</v>
      </c>
      <c r="E15" s="4">
        <v>230.72720000000001</v>
      </c>
      <c r="F15" s="5">
        <v>1.116663</v>
      </c>
      <c r="G15" s="5">
        <v>0.29292800000000002</v>
      </c>
    </row>
    <row r="16" spans="1:7" ht="16">
      <c r="A16" s="2">
        <v>45310</v>
      </c>
      <c r="B16" s="5">
        <v>0.11677700000000001</v>
      </c>
      <c r="C16" s="4">
        <v>3269.7763</v>
      </c>
      <c r="D16" s="4">
        <v>1.0830059999999999</v>
      </c>
      <c r="E16" s="4">
        <v>230.83349999999999</v>
      </c>
      <c r="F16" s="5">
        <v>1.1177429999999999</v>
      </c>
      <c r="G16" s="5">
        <v>0.29842099999999999</v>
      </c>
    </row>
    <row r="17" spans="1:7" ht="16">
      <c r="A17" s="2">
        <v>45313</v>
      </c>
      <c r="B17" s="5">
        <v>0.11083999999999999</v>
      </c>
      <c r="C17" s="4">
        <v>3218.9016000000001</v>
      </c>
      <c r="D17" s="4">
        <v>1.1124989999999999</v>
      </c>
      <c r="E17" s="4">
        <v>231.09780000000001</v>
      </c>
      <c r="F17" s="5">
        <v>1.084527</v>
      </c>
      <c r="G17" s="5">
        <v>0.299008</v>
      </c>
    </row>
    <row r="18" spans="1:7" ht="16">
      <c r="A18" s="2">
        <v>45314</v>
      </c>
      <c r="B18" s="5">
        <v>0.111501</v>
      </c>
      <c r="C18" s="4">
        <v>3231.9328999999998</v>
      </c>
      <c r="D18" s="4">
        <v>1.107208</v>
      </c>
      <c r="E18" s="4">
        <v>231.15459999999999</v>
      </c>
      <c r="F18" s="5">
        <v>1.0820160000000001</v>
      </c>
      <c r="G18" s="5">
        <v>0.29888500000000001</v>
      </c>
    </row>
    <row r="19" spans="1:7" ht="16">
      <c r="A19" s="2">
        <v>45315</v>
      </c>
      <c r="B19" s="5">
        <v>0.116729</v>
      </c>
      <c r="C19" s="4">
        <v>3277.1089000000002</v>
      </c>
      <c r="D19" s="4">
        <v>1.068584</v>
      </c>
      <c r="E19" s="4">
        <v>231.2218</v>
      </c>
      <c r="F19" s="5">
        <v>1.0792900000000001</v>
      </c>
      <c r="G19" s="5">
        <v>0.29797600000000002</v>
      </c>
    </row>
    <row r="20" spans="1:7" ht="16">
      <c r="A20" s="2">
        <v>45316</v>
      </c>
      <c r="B20" s="5">
        <v>0.120659</v>
      </c>
      <c r="C20" s="4">
        <v>3342.9189000000001</v>
      </c>
      <c r="D20" s="4">
        <v>1.0479810000000001</v>
      </c>
      <c r="E20" s="4">
        <v>231.36019999999999</v>
      </c>
      <c r="F20" s="5">
        <v>1.0756570000000001</v>
      </c>
      <c r="G20" s="5">
        <v>0.29686299999999999</v>
      </c>
    </row>
    <row r="21" spans="1:7" ht="16">
      <c r="A21" s="2">
        <v>45317</v>
      </c>
      <c r="B21" s="5">
        <v>0.122753</v>
      </c>
      <c r="C21" s="4">
        <v>3333.8213000000001</v>
      </c>
      <c r="D21" s="4">
        <v>1.0414330000000001</v>
      </c>
      <c r="E21" s="4">
        <v>231.4128</v>
      </c>
      <c r="F21" s="5">
        <v>1.070363</v>
      </c>
      <c r="G21" s="5">
        <v>0.29619499999999999</v>
      </c>
    </row>
    <row r="22" spans="1:7" ht="16">
      <c r="A22" s="2">
        <v>45320</v>
      </c>
      <c r="B22" s="5">
        <v>0.12300800000000001</v>
      </c>
      <c r="C22" s="4">
        <v>3303.9603999999999</v>
      </c>
      <c r="D22" s="4">
        <v>1.0399700000000001</v>
      </c>
      <c r="E22" s="4">
        <v>231.5478</v>
      </c>
      <c r="F22" s="5">
        <v>1.0708519999999999</v>
      </c>
      <c r="G22" s="5">
        <v>0.29594399999999998</v>
      </c>
    </row>
    <row r="23" spans="1:7" ht="16">
      <c r="A23" s="2">
        <v>45321</v>
      </c>
      <c r="B23" s="5">
        <v>0.121492</v>
      </c>
      <c r="C23" s="4">
        <v>3245.0387000000001</v>
      </c>
      <c r="D23" s="4">
        <v>1.046673</v>
      </c>
      <c r="E23" s="4">
        <v>231.9562</v>
      </c>
      <c r="F23" s="5">
        <v>1.0713809999999999</v>
      </c>
      <c r="G23" s="5">
        <v>0.29630800000000002</v>
      </c>
    </row>
    <row r="24" spans="1:7" ht="16">
      <c r="A24" s="2">
        <v>45322</v>
      </c>
      <c r="B24" s="5">
        <v>0.121778</v>
      </c>
      <c r="C24" s="4">
        <v>3215.3517999999999</v>
      </c>
      <c r="D24" s="4">
        <v>1.0352250000000001</v>
      </c>
      <c r="E24" s="4">
        <v>232.33609999999999</v>
      </c>
      <c r="F24" s="5">
        <v>1.0725709999999999</v>
      </c>
      <c r="G24" s="5">
        <v>0.29619000000000001</v>
      </c>
    </row>
    <row r="25" spans="1:7" ht="16">
      <c r="A25" s="2">
        <v>45323</v>
      </c>
      <c r="B25" s="5">
        <v>0.12114800000000001</v>
      </c>
      <c r="C25" s="4">
        <v>3217.7109</v>
      </c>
      <c r="D25" s="4">
        <v>1.0382290000000001</v>
      </c>
      <c r="E25" s="4">
        <v>232.39490000000001</v>
      </c>
      <c r="F25" s="5">
        <v>1.072659</v>
      </c>
      <c r="G25" s="5">
        <v>0.296545</v>
      </c>
    </row>
    <row r="26" spans="1:7" ht="16">
      <c r="A26" s="2">
        <v>45324</v>
      </c>
      <c r="B26" s="5">
        <v>0.121338</v>
      </c>
      <c r="C26" s="4">
        <v>3179.6275999999998</v>
      </c>
      <c r="D26" s="4">
        <v>1.037366</v>
      </c>
      <c r="E26" s="4">
        <v>232.3914</v>
      </c>
      <c r="F26" s="5">
        <v>1.0726329999999999</v>
      </c>
      <c r="G26" s="5">
        <v>0.29644999999999999</v>
      </c>
    </row>
    <row r="27" spans="1:7" ht="16">
      <c r="A27" s="2">
        <v>45327</v>
      </c>
      <c r="B27" s="5">
        <v>0.122099</v>
      </c>
      <c r="C27" s="4">
        <v>3200.4218000000001</v>
      </c>
      <c r="D27" s="4">
        <v>1.0325880000000001</v>
      </c>
      <c r="E27" s="4">
        <v>232.6497</v>
      </c>
      <c r="F27" s="5">
        <v>1.0725800000000001</v>
      </c>
      <c r="G27" s="5">
        <v>0.29622100000000001</v>
      </c>
    </row>
    <row r="28" spans="1:7" ht="16">
      <c r="A28" s="2">
        <v>45328</v>
      </c>
      <c r="B28" s="5">
        <v>9.3340999999999993E-2</v>
      </c>
      <c r="C28" s="4">
        <v>3311.6922</v>
      </c>
      <c r="D28" s="4">
        <v>1.027752</v>
      </c>
      <c r="E28" s="4">
        <v>232.4177</v>
      </c>
      <c r="F28" s="5">
        <v>1.0724610000000001</v>
      </c>
      <c r="G28" s="5">
        <v>0.29570999999999997</v>
      </c>
    </row>
    <row r="29" spans="1:7" ht="16">
      <c r="A29" s="2">
        <v>45329</v>
      </c>
      <c r="B29" s="5">
        <v>5.9898E-2</v>
      </c>
      <c r="C29" s="4">
        <v>3343.6302999999998</v>
      </c>
      <c r="D29" s="4">
        <v>1.0269509999999999</v>
      </c>
      <c r="E29" s="4">
        <v>232.48349999999999</v>
      </c>
      <c r="F29" s="5">
        <v>1.072465</v>
      </c>
      <c r="G29" s="5">
        <v>0.29572300000000001</v>
      </c>
    </row>
    <row r="30" spans="1:7" ht="16">
      <c r="A30" s="2">
        <v>45330</v>
      </c>
      <c r="B30" s="5">
        <v>5.9150000000000001E-2</v>
      </c>
      <c r="C30" s="4">
        <v>3364.9297000000001</v>
      </c>
      <c r="D30" s="4">
        <v>1.0258149999999999</v>
      </c>
      <c r="E30" s="4">
        <v>232.4648</v>
      </c>
      <c r="F30" s="5">
        <v>1.0724370000000001</v>
      </c>
      <c r="G30" s="5">
        <v>0.29563</v>
      </c>
    </row>
    <row r="31" spans="1:7" ht="16">
      <c r="A31" s="2">
        <v>45341</v>
      </c>
      <c r="B31" s="5">
        <v>6.0401000000000003E-2</v>
      </c>
      <c r="C31" s="4">
        <v>3403.8078</v>
      </c>
      <c r="D31" s="4">
        <v>1.0158020000000001</v>
      </c>
      <c r="E31" s="4">
        <v>232.71440000000001</v>
      </c>
      <c r="F31" s="5">
        <v>1.000367</v>
      </c>
      <c r="G31" s="5">
        <v>0.29489799999999999</v>
      </c>
    </row>
    <row r="32" spans="1:7" ht="16">
      <c r="A32" s="2">
        <v>45342</v>
      </c>
      <c r="B32" s="5">
        <v>6.0398E-2</v>
      </c>
      <c r="C32" s="4">
        <v>3410.8542000000002</v>
      </c>
      <c r="D32" s="4">
        <v>1.0115229999999999</v>
      </c>
      <c r="E32" s="4">
        <v>232.85820000000001</v>
      </c>
      <c r="F32" s="5">
        <v>1.0001850000000001</v>
      </c>
      <c r="G32" s="5">
        <v>0.294487</v>
      </c>
    </row>
    <row r="33" spans="1:7" ht="16">
      <c r="A33" s="2">
        <v>45343</v>
      </c>
      <c r="B33" s="5">
        <v>6.8353999999999998E-2</v>
      </c>
      <c r="C33" s="4">
        <v>3456.8712999999998</v>
      </c>
      <c r="D33" s="4">
        <v>1.0102260000000001</v>
      </c>
      <c r="E33" s="4">
        <v>232.91739999999999</v>
      </c>
      <c r="F33" s="5">
        <v>1</v>
      </c>
      <c r="G33" s="5">
        <v>0.29419499999999998</v>
      </c>
    </row>
    <row r="34" spans="1:7" ht="16">
      <c r="A34" s="2">
        <v>45344</v>
      </c>
      <c r="B34" s="5">
        <v>6.9181999999999994E-2</v>
      </c>
      <c r="C34" s="4">
        <v>3486.6747</v>
      </c>
      <c r="D34" s="4">
        <v>1.008758</v>
      </c>
      <c r="E34" s="4">
        <v>233.01859999999999</v>
      </c>
      <c r="F34" s="5">
        <v>1</v>
      </c>
      <c r="G34" s="5">
        <v>0.29500399999999999</v>
      </c>
    </row>
    <row r="35" spans="1:7" ht="16">
      <c r="A35" s="2">
        <v>45345</v>
      </c>
      <c r="B35" s="5">
        <v>6.9608000000000003E-2</v>
      </c>
      <c r="C35" s="4">
        <v>3489.7415999999998</v>
      </c>
      <c r="D35" s="4">
        <v>1.000877</v>
      </c>
      <c r="E35" s="4">
        <v>233.19759999999999</v>
      </c>
      <c r="F35" s="5">
        <v>1</v>
      </c>
      <c r="G35" s="5">
        <v>0.29485600000000001</v>
      </c>
    </row>
    <row r="36" spans="1:7" ht="16">
      <c r="A36" s="2">
        <v>45348</v>
      </c>
      <c r="B36" s="5">
        <v>6.7333000000000004E-2</v>
      </c>
      <c r="C36" s="4">
        <v>3453.3584999999998</v>
      </c>
      <c r="D36" s="4">
        <v>0.99124900000000005</v>
      </c>
      <c r="E36" s="4">
        <v>233.3672</v>
      </c>
      <c r="F36" s="5">
        <v>1</v>
      </c>
      <c r="G36" s="5">
        <v>0.29552200000000001</v>
      </c>
    </row>
    <row r="37" spans="1:7" ht="16">
      <c r="A37" s="2">
        <v>45349</v>
      </c>
      <c r="B37" s="5">
        <v>6.7517999999999995E-2</v>
      </c>
      <c r="C37" s="4">
        <v>3494.7874000000002</v>
      </c>
      <c r="D37" s="4">
        <v>0.98905200000000004</v>
      </c>
      <c r="E37" s="4">
        <v>233.5772</v>
      </c>
      <c r="F37" s="5">
        <v>1</v>
      </c>
      <c r="G37" s="5">
        <v>0.29541899999999999</v>
      </c>
    </row>
    <row r="38" spans="1:7" ht="16">
      <c r="A38" s="2">
        <v>45350</v>
      </c>
      <c r="B38" s="5">
        <v>6.6833000000000004E-2</v>
      </c>
      <c r="C38" s="4">
        <v>3450.2597999999998</v>
      </c>
      <c r="D38" s="4">
        <v>0.969553</v>
      </c>
      <c r="E38" s="4">
        <v>233.73339999999999</v>
      </c>
      <c r="F38" s="5">
        <v>1</v>
      </c>
      <c r="G38" s="5">
        <v>0.29555599999999999</v>
      </c>
    </row>
    <row r="39" spans="1:7" ht="16">
      <c r="A39" s="2">
        <v>45351</v>
      </c>
      <c r="B39" s="5">
        <v>6.7483000000000001E-2</v>
      </c>
      <c r="C39" s="4">
        <v>3516.0826000000002</v>
      </c>
      <c r="D39" s="4">
        <v>0.97095500000000001</v>
      </c>
      <c r="E39" s="4">
        <v>234.04849999999999</v>
      </c>
      <c r="F39" s="5">
        <v>1</v>
      </c>
      <c r="G39" s="5">
        <v>0.29538700000000001</v>
      </c>
    </row>
    <row r="40" spans="1:7" ht="16">
      <c r="A40" s="2">
        <v>45352</v>
      </c>
      <c r="B40" s="5">
        <v>6.7303000000000002E-2</v>
      </c>
      <c r="C40" s="4">
        <v>3537.8038000000001</v>
      </c>
      <c r="D40" s="4">
        <v>0.96387599999999996</v>
      </c>
      <c r="E40" s="4">
        <v>233.7782</v>
      </c>
      <c r="F40" s="5">
        <v>1</v>
      </c>
      <c r="G40" s="5">
        <v>0.29519000000000001</v>
      </c>
    </row>
    <row r="41" spans="1:7" ht="16">
      <c r="A41" s="2">
        <v>45355</v>
      </c>
      <c r="B41" s="5">
        <v>6.7933999999999994E-2</v>
      </c>
      <c r="C41" s="4">
        <v>3540.8685999999998</v>
      </c>
      <c r="D41" s="4">
        <v>0.95910799999999996</v>
      </c>
      <c r="E41" s="4">
        <v>233.90360000000001</v>
      </c>
      <c r="F41" s="5">
        <v>1</v>
      </c>
      <c r="G41" s="5">
        <v>0.29482700000000001</v>
      </c>
    </row>
    <row r="42" spans="1:7" ht="16">
      <c r="A42" s="2">
        <v>45356</v>
      </c>
      <c r="B42" s="5">
        <v>6.8475999999999995E-2</v>
      </c>
      <c r="C42" s="4">
        <v>3565.5142999999998</v>
      </c>
      <c r="D42" s="4">
        <v>0.956932</v>
      </c>
      <c r="E42" s="4">
        <v>233.96690000000001</v>
      </c>
      <c r="F42" s="5">
        <v>1</v>
      </c>
      <c r="G42" s="5">
        <v>0.29460500000000001</v>
      </c>
    </row>
    <row r="43" spans="1:7" ht="16">
      <c r="A43" s="2">
        <v>45357</v>
      </c>
      <c r="B43" s="5">
        <v>6.8530999999999995E-2</v>
      </c>
      <c r="C43" s="4">
        <v>3551.0481</v>
      </c>
      <c r="D43" s="4">
        <v>0.95594999999999997</v>
      </c>
      <c r="E43" s="4">
        <v>234.3408</v>
      </c>
      <c r="F43" s="5">
        <v>1.0325230000000001</v>
      </c>
      <c r="G43" s="5">
        <v>0.29440300000000003</v>
      </c>
    </row>
    <row r="44" spans="1:7" ht="16">
      <c r="A44" s="2">
        <v>45358</v>
      </c>
      <c r="B44" s="5">
        <v>6.9184999999999997E-2</v>
      </c>
      <c r="C44" s="4">
        <v>3529.7195000000002</v>
      </c>
      <c r="D44" s="4">
        <v>0.947882</v>
      </c>
      <c r="E44" s="4">
        <v>234.48079999999999</v>
      </c>
      <c r="F44" s="5">
        <v>1.0324899999999999</v>
      </c>
      <c r="G44" s="5">
        <v>0.29409999999999997</v>
      </c>
    </row>
    <row r="45" spans="1:7" ht="16">
      <c r="A45" s="2">
        <v>45359</v>
      </c>
      <c r="B45" s="5">
        <v>7.2026999999999994E-2</v>
      </c>
      <c r="C45" s="4">
        <v>3544.9099000000001</v>
      </c>
      <c r="D45" s="4">
        <v>1.00926</v>
      </c>
      <c r="E45" s="4">
        <v>234.47559999999999</v>
      </c>
      <c r="F45" s="5">
        <v>1.032033</v>
      </c>
      <c r="G45" s="5">
        <v>0.30475600000000003</v>
      </c>
    </row>
    <row r="46" spans="1:7" ht="16">
      <c r="A46" s="2">
        <v>45362</v>
      </c>
      <c r="B46" s="5">
        <v>7.1584999999999996E-2</v>
      </c>
      <c r="C46" s="4">
        <v>3589.2635</v>
      </c>
      <c r="D46" s="4">
        <v>0.99946199999999996</v>
      </c>
      <c r="E46" s="4">
        <v>234.34270000000001</v>
      </c>
      <c r="F46" s="5">
        <v>1.026829</v>
      </c>
      <c r="G46" s="5">
        <v>0.30490299999999998</v>
      </c>
    </row>
    <row r="47" spans="1:7" ht="16">
      <c r="A47" s="2">
        <v>45363</v>
      </c>
      <c r="B47" s="5">
        <v>7.0446999999999996E-2</v>
      </c>
      <c r="C47" s="4">
        <v>3597.4938999999999</v>
      </c>
      <c r="D47" s="4">
        <v>0.99922599999999995</v>
      </c>
      <c r="E47" s="4">
        <v>233.91720000000001</v>
      </c>
      <c r="F47" s="5">
        <v>1.026878</v>
      </c>
      <c r="G47" s="5">
        <v>0.30556299999999997</v>
      </c>
    </row>
    <row r="48" spans="1:7" ht="16">
      <c r="A48" s="2">
        <v>45364</v>
      </c>
      <c r="B48" s="5">
        <v>7.0354E-2</v>
      </c>
      <c r="C48" s="4">
        <v>3572.3609999999999</v>
      </c>
      <c r="D48" s="4">
        <v>0.99515299999999995</v>
      </c>
      <c r="E48" s="4">
        <v>233.81030000000001</v>
      </c>
      <c r="F48" s="5">
        <v>1.026875</v>
      </c>
      <c r="G48" s="5">
        <v>0.305533</v>
      </c>
    </row>
    <row r="49" spans="1:7" ht="16">
      <c r="A49" s="2">
        <v>45365</v>
      </c>
      <c r="B49" s="5">
        <v>6.9373000000000004E-2</v>
      </c>
      <c r="C49" s="4">
        <v>3562.2229000000002</v>
      </c>
      <c r="D49" s="4">
        <v>0.99550499999999997</v>
      </c>
      <c r="E49" s="4">
        <v>233.7338</v>
      </c>
      <c r="F49" s="5">
        <v>1.043112</v>
      </c>
      <c r="G49" s="5">
        <v>0.30529299999999998</v>
      </c>
    </row>
    <row r="50" spans="1:7" ht="16">
      <c r="A50" s="2">
        <v>45366</v>
      </c>
      <c r="B50" s="5">
        <v>7.0013000000000006E-2</v>
      </c>
      <c r="C50" s="4">
        <v>3569.9929999999999</v>
      </c>
      <c r="D50" s="4">
        <v>0.99355800000000005</v>
      </c>
      <c r="E50" s="4">
        <v>233.83510000000001</v>
      </c>
      <c r="F50" s="5">
        <v>1.0739399999999999</v>
      </c>
      <c r="G50" s="5">
        <v>0.32127699999999998</v>
      </c>
    </row>
    <row r="51" spans="1:7" ht="16">
      <c r="A51" s="2">
        <v>45369</v>
      </c>
      <c r="B51" s="5">
        <v>6.9592000000000001E-2</v>
      </c>
      <c r="C51" s="4">
        <v>3603.5279999999998</v>
      </c>
      <c r="D51" s="4">
        <v>0.988591</v>
      </c>
      <c r="E51" s="4">
        <v>234.0412</v>
      </c>
      <c r="F51" s="5">
        <v>1.0738570000000001</v>
      </c>
      <c r="G51" s="5">
        <v>0.35357100000000002</v>
      </c>
    </row>
    <row r="52" spans="1:7" ht="16">
      <c r="A52" s="2">
        <v>45370</v>
      </c>
      <c r="B52" s="5">
        <v>6.9246000000000002E-2</v>
      </c>
      <c r="C52" s="4">
        <v>3577.6302999999998</v>
      </c>
      <c r="D52" s="4">
        <v>0.98830799999999996</v>
      </c>
      <c r="E52" s="4">
        <v>234.23</v>
      </c>
      <c r="F52" s="5">
        <v>1.0738859999999999</v>
      </c>
      <c r="G52" s="5">
        <v>0.353746</v>
      </c>
    </row>
    <row r="53" spans="1:7" ht="16">
      <c r="A53" s="2">
        <v>45371</v>
      </c>
      <c r="B53" s="5">
        <v>7.0044999999999996E-2</v>
      </c>
      <c r="C53" s="4">
        <v>3585.3838000000001</v>
      </c>
      <c r="D53" s="4">
        <v>0.98630600000000002</v>
      </c>
      <c r="E53" s="4">
        <v>234.2072</v>
      </c>
      <c r="F53" s="5">
        <v>1.07524</v>
      </c>
      <c r="G53" s="5">
        <v>0.35348000000000002</v>
      </c>
    </row>
    <row r="54" spans="1:7" ht="16">
      <c r="A54" s="2">
        <v>45372</v>
      </c>
      <c r="B54" s="5">
        <v>7.0017999999999997E-2</v>
      </c>
      <c r="C54" s="4">
        <v>3581.0902000000001</v>
      </c>
      <c r="D54" s="4">
        <v>0.98490599999999995</v>
      </c>
      <c r="E54" s="4">
        <v>234.2321</v>
      </c>
      <c r="F54" s="5">
        <v>1.1026180000000001</v>
      </c>
      <c r="G54" s="5">
        <v>0.35333999999999999</v>
      </c>
    </row>
    <row r="55" spans="1:7" ht="16">
      <c r="A55" s="2">
        <v>45373</v>
      </c>
      <c r="B55" s="5">
        <v>6.9504999999999997E-2</v>
      </c>
      <c r="C55" s="4">
        <v>3545.0023000000001</v>
      </c>
      <c r="D55" s="4">
        <v>0.98466900000000002</v>
      </c>
      <c r="E55" s="4">
        <v>234.2303</v>
      </c>
      <c r="F55" s="5">
        <v>1.0753170000000001</v>
      </c>
      <c r="G55" s="5">
        <v>0.35352600000000001</v>
      </c>
    </row>
    <row r="56" spans="1:7" ht="16">
      <c r="A56" s="2">
        <v>45376</v>
      </c>
      <c r="B56" s="5">
        <v>6.9776000000000005E-2</v>
      </c>
      <c r="C56" s="4">
        <v>3525.7633999999998</v>
      </c>
      <c r="D56" s="4">
        <v>0.99171699999999996</v>
      </c>
      <c r="E56" s="4">
        <v>234.15100000000001</v>
      </c>
      <c r="F56" s="5">
        <v>1.0751630000000001</v>
      </c>
      <c r="G56" s="5">
        <v>0.353273</v>
      </c>
    </row>
    <row r="57" spans="1:7" ht="16">
      <c r="A57" s="2">
        <v>45377</v>
      </c>
      <c r="B57" s="5">
        <v>7.0078000000000001E-2</v>
      </c>
      <c r="C57" s="4">
        <v>3543.7467000000001</v>
      </c>
      <c r="D57" s="4">
        <v>0.97394800000000004</v>
      </c>
      <c r="E57" s="4">
        <v>234.1371</v>
      </c>
      <c r="F57" s="5">
        <v>1.075277</v>
      </c>
      <c r="G57" s="5">
        <v>0.35330299999999998</v>
      </c>
    </row>
    <row r="58" spans="1:7" ht="16">
      <c r="A58" s="2">
        <v>45378</v>
      </c>
      <c r="B58" s="5">
        <v>7.0657999999999999E-2</v>
      </c>
      <c r="C58" s="4">
        <v>3502.7865999999999</v>
      </c>
      <c r="D58" s="4">
        <v>0.98356900000000003</v>
      </c>
      <c r="E58" s="4">
        <v>234.268</v>
      </c>
      <c r="F58" s="5">
        <v>1.0668280000000001</v>
      </c>
      <c r="G58" s="5">
        <v>0.35327799999999998</v>
      </c>
    </row>
    <row r="59" spans="1:7" ht="16">
      <c r="A59" s="2">
        <v>45379</v>
      </c>
      <c r="B59" s="5">
        <v>6.9906999999999997E-2</v>
      </c>
      <c r="C59" s="4">
        <v>3520.9648000000002</v>
      </c>
      <c r="D59" s="4">
        <v>0.98314400000000002</v>
      </c>
      <c r="E59" s="4">
        <v>234.35900000000001</v>
      </c>
      <c r="F59" s="5">
        <v>1.115265</v>
      </c>
      <c r="G59" s="5">
        <v>0.35297600000000001</v>
      </c>
    </row>
    <row r="60" spans="1:7" ht="16">
      <c r="A60" s="2">
        <v>45380</v>
      </c>
      <c r="B60" s="5">
        <v>7.1123000000000006E-2</v>
      </c>
      <c r="C60" s="4">
        <v>3537.4843000000001</v>
      </c>
      <c r="D60" s="4">
        <v>0.98516700000000001</v>
      </c>
      <c r="E60" s="4">
        <v>234.46539999999999</v>
      </c>
      <c r="F60" s="5">
        <v>1.1149439999999999</v>
      </c>
      <c r="G60" s="5">
        <v>0.40114</v>
      </c>
    </row>
    <row r="61" spans="1:7" ht="16">
      <c r="A61" s="2">
        <v>45383</v>
      </c>
      <c r="B61" s="5">
        <v>7.1006E-2</v>
      </c>
      <c r="C61" s="4">
        <v>3595.6466</v>
      </c>
      <c r="D61" s="4">
        <v>0.98896300000000004</v>
      </c>
      <c r="E61" s="4">
        <v>234.39590000000001</v>
      </c>
      <c r="F61" s="5">
        <v>1.137993</v>
      </c>
      <c r="G61" s="5">
        <v>0.40113700000000002</v>
      </c>
    </row>
    <row r="62" spans="1:7" ht="16">
      <c r="A62" s="2">
        <v>45384</v>
      </c>
      <c r="B62" s="5">
        <v>7.0812E-2</v>
      </c>
      <c r="C62" s="4">
        <v>3580.6759000000002</v>
      </c>
      <c r="D62" s="4">
        <v>0.99538599999999999</v>
      </c>
      <c r="E62" s="4">
        <v>234.52109999999999</v>
      </c>
      <c r="F62" s="5">
        <v>1.1164320000000001</v>
      </c>
      <c r="G62" s="5">
        <v>0.40090199999999998</v>
      </c>
    </row>
    <row r="63" spans="1:7" ht="16">
      <c r="A63" s="2">
        <v>45385</v>
      </c>
      <c r="B63" s="5">
        <v>7.0557999999999996E-2</v>
      </c>
      <c r="C63" s="4">
        <v>3567.8031000000001</v>
      </c>
      <c r="D63" s="4">
        <v>1.006006</v>
      </c>
      <c r="E63" s="4">
        <v>234.69210000000001</v>
      </c>
      <c r="F63" s="5">
        <v>1.113513</v>
      </c>
      <c r="G63" s="5">
        <v>0.40056000000000003</v>
      </c>
    </row>
    <row r="64" spans="1:7" ht="16">
      <c r="A64" s="2">
        <v>45390</v>
      </c>
      <c r="B64" s="5">
        <v>6.8694000000000005E-2</v>
      </c>
      <c r="C64" s="4">
        <v>3536.4077000000002</v>
      </c>
      <c r="D64" s="4">
        <v>0.999421</v>
      </c>
      <c r="E64" s="4">
        <v>234.8724</v>
      </c>
      <c r="F64" s="5">
        <v>1.112603</v>
      </c>
      <c r="G64" s="5">
        <v>0.40006700000000001</v>
      </c>
    </row>
    <row r="65" spans="1:7" ht="16">
      <c r="A65" s="2">
        <v>45391</v>
      </c>
      <c r="B65" s="5">
        <v>6.8292000000000005E-2</v>
      </c>
      <c r="C65" s="4">
        <v>3533.4870999999998</v>
      </c>
      <c r="D65" s="4">
        <v>0.99982899999999997</v>
      </c>
      <c r="E65" s="4">
        <v>234.9949</v>
      </c>
      <c r="F65" s="5">
        <v>1.112746</v>
      </c>
      <c r="G65" s="5">
        <v>0.40019500000000002</v>
      </c>
    </row>
    <row r="66" spans="1:7" ht="16">
      <c r="A66" s="2">
        <v>45392</v>
      </c>
      <c r="B66" s="5">
        <v>6.8364999999999995E-2</v>
      </c>
      <c r="C66" s="4">
        <v>3504.7085999999999</v>
      </c>
      <c r="D66" s="4">
        <v>0.99793799999999999</v>
      </c>
      <c r="E66" s="4">
        <v>234.97460000000001</v>
      </c>
      <c r="F66" s="5">
        <v>1.1141589999999999</v>
      </c>
      <c r="G66" s="5">
        <v>0.39965800000000001</v>
      </c>
    </row>
    <row r="67" spans="1:7" ht="16">
      <c r="A67" s="2">
        <v>45393</v>
      </c>
      <c r="B67" s="5">
        <v>6.8886000000000003E-2</v>
      </c>
      <c r="C67" s="4">
        <v>3504.2447000000002</v>
      </c>
      <c r="D67" s="4">
        <v>0.99079399999999995</v>
      </c>
      <c r="E67" s="4">
        <v>235.01929999999999</v>
      </c>
      <c r="F67" s="5">
        <v>1.1122339999999999</v>
      </c>
      <c r="G67" s="5">
        <v>0.39952500000000002</v>
      </c>
    </row>
    <row r="68" spans="1:7" ht="16">
      <c r="A68" s="2">
        <v>45394</v>
      </c>
      <c r="B68" s="5">
        <v>6.8631999999999999E-2</v>
      </c>
      <c r="C68" s="4">
        <v>3475.8389000000002</v>
      </c>
      <c r="D68" s="4">
        <v>0.98838499999999996</v>
      </c>
      <c r="E68" s="4">
        <v>235.24180000000001</v>
      </c>
      <c r="F68" s="5">
        <v>1.1121669999999999</v>
      </c>
      <c r="G68" s="5">
        <v>0.399339</v>
      </c>
    </row>
    <row r="69" spans="1:7" ht="16">
      <c r="A69" s="2">
        <v>45397</v>
      </c>
      <c r="B69" s="5">
        <v>7.6096999999999998E-2</v>
      </c>
      <c r="C69" s="4">
        <v>3549.0758999999998</v>
      </c>
      <c r="D69" s="4">
        <v>0.98773</v>
      </c>
      <c r="E69" s="4">
        <v>235.37639999999999</v>
      </c>
      <c r="F69" s="5">
        <v>1.1128849999999999</v>
      </c>
      <c r="G69" s="5">
        <v>0.39866400000000002</v>
      </c>
    </row>
    <row r="70" spans="1:7" ht="16">
      <c r="A70" s="2">
        <v>45398</v>
      </c>
      <c r="B70" s="5">
        <v>6.9334999999999994E-2</v>
      </c>
      <c r="C70" s="4">
        <v>3511.1145999999999</v>
      </c>
      <c r="D70" s="4">
        <v>1.011646</v>
      </c>
      <c r="E70" s="4">
        <v>235.42769999999999</v>
      </c>
      <c r="F70" s="5">
        <v>1.1008770000000001</v>
      </c>
      <c r="G70" s="5">
        <v>0.39866400000000002</v>
      </c>
    </row>
    <row r="71" spans="1:7" ht="16">
      <c r="A71" s="2">
        <v>45399</v>
      </c>
      <c r="B71" s="5">
        <v>7.7066999999999997E-2</v>
      </c>
      <c r="C71" s="4">
        <v>3565.4029999999998</v>
      </c>
      <c r="D71" s="4">
        <v>1.001695</v>
      </c>
      <c r="E71" s="4">
        <v>235.55240000000001</v>
      </c>
      <c r="F71" s="5">
        <v>1.1006689999999999</v>
      </c>
      <c r="G71" s="5">
        <v>0.39794299999999999</v>
      </c>
    </row>
    <row r="72" spans="1:7" ht="16">
      <c r="A72" s="2">
        <v>45400</v>
      </c>
      <c r="B72" s="5">
        <v>7.7078999999999995E-2</v>
      </c>
      <c r="C72" s="4">
        <v>3569.8018000000002</v>
      </c>
      <c r="D72" s="4">
        <v>1.0038180000000001</v>
      </c>
      <c r="E72" s="4">
        <v>235.7852</v>
      </c>
      <c r="F72" s="5">
        <v>1.09962</v>
      </c>
      <c r="G72" s="5">
        <v>0.39718900000000001</v>
      </c>
    </row>
    <row r="73" spans="1:7" ht="16">
      <c r="A73" s="2">
        <v>45401</v>
      </c>
      <c r="B73" s="5">
        <v>7.8058000000000002E-2</v>
      </c>
      <c r="C73" s="4">
        <v>3541.6619000000001</v>
      </c>
      <c r="D73" s="4">
        <v>1.0062439999999999</v>
      </c>
      <c r="E73" s="4">
        <v>235.99260000000001</v>
      </c>
      <c r="F73" s="5">
        <v>1.100042</v>
      </c>
      <c r="G73" s="5">
        <v>0.39732800000000001</v>
      </c>
    </row>
    <row r="74" spans="1:7" ht="16">
      <c r="A74" s="2">
        <v>45404</v>
      </c>
      <c r="B74" s="5">
        <v>7.6078999999999994E-2</v>
      </c>
      <c r="C74" s="4">
        <v>3530.9045000000001</v>
      </c>
      <c r="D74" s="4">
        <v>1.0049859999999999</v>
      </c>
      <c r="E74" s="4">
        <v>236.28469999999999</v>
      </c>
      <c r="F74" s="5">
        <v>1.098514</v>
      </c>
      <c r="G74" s="5">
        <v>0.39776400000000001</v>
      </c>
    </row>
    <row r="75" spans="1:7" ht="16">
      <c r="A75" s="2">
        <v>45405</v>
      </c>
      <c r="B75" s="5">
        <v>7.4795E-2</v>
      </c>
      <c r="C75" s="4">
        <v>3506.2249000000002</v>
      </c>
      <c r="D75" s="4">
        <v>1.0055000000000001</v>
      </c>
      <c r="E75" s="4">
        <v>236.58369999999999</v>
      </c>
      <c r="F75" s="5">
        <v>1.0986119999999999</v>
      </c>
      <c r="G75" s="5">
        <v>0.39811299999999999</v>
      </c>
    </row>
    <row r="76" spans="1:7" ht="16">
      <c r="A76" s="2">
        <v>45406</v>
      </c>
      <c r="B76" s="5">
        <v>8.6352999999999999E-2</v>
      </c>
      <c r="C76" s="4">
        <v>3521.6219000000001</v>
      </c>
      <c r="D76" s="4">
        <v>1.0035210000000001</v>
      </c>
      <c r="E76" s="4">
        <v>236.2346</v>
      </c>
      <c r="F76" s="5">
        <v>1.1105689999999999</v>
      </c>
      <c r="G76" s="5">
        <v>0.39801500000000001</v>
      </c>
    </row>
    <row r="77" spans="1:7" ht="16">
      <c r="A77" s="2">
        <v>45407</v>
      </c>
      <c r="B77" s="5">
        <v>9.5771999999999996E-2</v>
      </c>
      <c r="C77" s="4">
        <v>3530.2813000000001</v>
      </c>
      <c r="D77" s="4">
        <v>1.0031460000000001</v>
      </c>
      <c r="E77" s="4">
        <v>236.08920000000001</v>
      </c>
      <c r="F77" s="5">
        <v>1.1195040000000001</v>
      </c>
      <c r="G77" s="5">
        <v>0.39789099999999999</v>
      </c>
    </row>
    <row r="78" spans="1:7" ht="16">
      <c r="A78" s="2">
        <v>45408</v>
      </c>
      <c r="B78" s="5">
        <v>8.8081000000000007E-2</v>
      </c>
      <c r="C78" s="4">
        <v>3584.2685999999999</v>
      </c>
      <c r="D78" s="4">
        <v>0.93733900000000003</v>
      </c>
      <c r="E78" s="4">
        <v>235.74639999999999</v>
      </c>
      <c r="F78" s="5">
        <v>1.1083289999999999</v>
      </c>
      <c r="G78" s="5">
        <v>0.37267600000000001</v>
      </c>
    </row>
    <row r="79" spans="1:7" ht="16">
      <c r="A79" s="2">
        <v>45411</v>
      </c>
      <c r="B79" s="5">
        <v>8.9562000000000003E-2</v>
      </c>
      <c r="C79" s="4">
        <v>3623.9124000000002</v>
      </c>
      <c r="D79" s="4">
        <v>0.93202399999999996</v>
      </c>
      <c r="E79" s="4">
        <v>235.0949</v>
      </c>
      <c r="F79" s="5">
        <v>1.10806</v>
      </c>
      <c r="G79" s="5">
        <v>0.37307299999999999</v>
      </c>
    </row>
    <row r="80" spans="1:7" ht="16">
      <c r="A80" s="2">
        <v>45412</v>
      </c>
      <c r="B80" s="5">
        <v>9.0823000000000001E-2</v>
      </c>
      <c r="C80" s="4">
        <v>3604.3942999999999</v>
      </c>
      <c r="D80" s="4">
        <v>0.92932700000000001</v>
      </c>
      <c r="E80" s="4">
        <v>235.40049999999999</v>
      </c>
      <c r="F80" s="5">
        <v>1.1079490000000001</v>
      </c>
      <c r="G80" s="5">
        <v>0.37257200000000001</v>
      </c>
    </row>
    <row r="81" spans="1:7" ht="16">
      <c r="A81" s="2">
        <v>45418</v>
      </c>
      <c r="B81" s="5">
        <v>9.0576000000000004E-2</v>
      </c>
      <c r="C81" s="4">
        <v>3657.8766999999998</v>
      </c>
      <c r="D81" s="4">
        <v>0.92131099999999999</v>
      </c>
      <c r="E81" s="4">
        <v>235.50790000000001</v>
      </c>
      <c r="F81" s="5">
        <v>1.0004519999999999</v>
      </c>
      <c r="G81" s="5">
        <v>0.37228299999999998</v>
      </c>
    </row>
    <row r="82" spans="1:7" ht="16">
      <c r="A82" s="2">
        <v>45419</v>
      </c>
      <c r="B82" s="5">
        <v>9.1009000000000007E-2</v>
      </c>
      <c r="C82" s="4">
        <v>3659.0075999999999</v>
      </c>
      <c r="D82" s="4">
        <v>0.91966499999999995</v>
      </c>
      <c r="E82" s="4">
        <v>235.74359999999999</v>
      </c>
      <c r="F82" s="5">
        <v>1.0068619999999999</v>
      </c>
      <c r="G82" s="5">
        <v>0.37189499999999998</v>
      </c>
    </row>
    <row r="83" spans="1:7" ht="16">
      <c r="A83" s="2">
        <v>45420</v>
      </c>
      <c r="B83" s="5">
        <v>9.1906000000000002E-2</v>
      </c>
      <c r="C83" s="4">
        <v>3630.2233000000001</v>
      </c>
      <c r="D83" s="4">
        <v>0.914331</v>
      </c>
      <c r="E83" s="4">
        <v>235.8227</v>
      </c>
      <c r="F83" s="5">
        <v>1.006847</v>
      </c>
      <c r="G83" s="5">
        <v>0.36996899999999999</v>
      </c>
    </row>
    <row r="84" spans="1:7" ht="16">
      <c r="A84" s="2">
        <v>45421</v>
      </c>
      <c r="B84" s="5">
        <v>9.2649999999999996E-2</v>
      </c>
      <c r="C84" s="4">
        <v>3664.5610000000001</v>
      </c>
      <c r="D84" s="4">
        <v>0.85526199999999997</v>
      </c>
      <c r="E84" s="4">
        <v>235.71899999999999</v>
      </c>
      <c r="F84" s="5">
        <v>1.003765</v>
      </c>
      <c r="G84" s="5">
        <v>0.3695</v>
      </c>
    </row>
    <row r="85" spans="1:7" ht="16">
      <c r="A85" s="2">
        <v>45422</v>
      </c>
      <c r="B85" s="5">
        <v>9.4874E-2</v>
      </c>
      <c r="C85" s="4">
        <v>3666.2770999999998</v>
      </c>
      <c r="D85" s="4">
        <v>0.85107699999999997</v>
      </c>
      <c r="E85" s="4">
        <v>235.66909999999999</v>
      </c>
      <c r="F85" s="5">
        <v>1.0066219999999999</v>
      </c>
      <c r="G85" s="5">
        <v>0.36899500000000002</v>
      </c>
    </row>
    <row r="86" spans="1:7" ht="16">
      <c r="A86" s="2">
        <v>45425</v>
      </c>
      <c r="B86" s="5">
        <v>0.12587400000000001</v>
      </c>
      <c r="C86" s="4">
        <v>3664.6907000000001</v>
      </c>
      <c r="D86" s="4">
        <v>0.84590299999999996</v>
      </c>
      <c r="E86" s="4">
        <v>235.83699999999999</v>
      </c>
      <c r="F86" s="5">
        <v>1.032063</v>
      </c>
      <c r="G86" s="5">
        <v>0.36890899999999999</v>
      </c>
    </row>
    <row r="87" spans="1:7" ht="16">
      <c r="A87" s="2">
        <v>45426</v>
      </c>
      <c r="B87" s="5">
        <v>0.14774399999999999</v>
      </c>
      <c r="C87" s="4">
        <v>3657.0454</v>
      </c>
      <c r="D87" s="4">
        <v>0.82431200000000004</v>
      </c>
      <c r="E87" s="4">
        <v>236.01169999999999</v>
      </c>
      <c r="F87" s="5">
        <v>1.0541990000000001</v>
      </c>
      <c r="G87" s="5">
        <v>0.368705</v>
      </c>
    </row>
    <row r="88" spans="1:7" ht="16">
      <c r="A88" s="2">
        <v>45427</v>
      </c>
      <c r="B88" s="5">
        <v>0.164966</v>
      </c>
      <c r="C88" s="4">
        <v>3626.0558999999998</v>
      </c>
      <c r="D88" s="4">
        <v>0.78468599999999999</v>
      </c>
      <c r="E88" s="4">
        <v>236.02619999999999</v>
      </c>
      <c r="F88" s="5">
        <v>1.0664260000000001</v>
      </c>
      <c r="G88" s="5">
        <v>0.36918000000000001</v>
      </c>
    </row>
    <row r="89" spans="1:7" ht="16">
      <c r="A89" s="2">
        <v>45428</v>
      </c>
      <c r="B89" s="5">
        <v>0.16316</v>
      </c>
      <c r="C89" s="4">
        <v>3640.3591999999999</v>
      </c>
      <c r="D89" s="4">
        <v>0.78172600000000003</v>
      </c>
      <c r="E89" s="4">
        <v>235.9289</v>
      </c>
      <c r="F89" s="5">
        <v>1.06273</v>
      </c>
      <c r="G89" s="5">
        <v>0.36920500000000001</v>
      </c>
    </row>
    <row r="90" spans="1:7" ht="16">
      <c r="A90" s="2">
        <v>45429</v>
      </c>
      <c r="B90" s="5">
        <v>0.166106</v>
      </c>
      <c r="C90" s="4">
        <v>3677.9695999999999</v>
      </c>
      <c r="D90" s="4">
        <v>0.67222700000000002</v>
      </c>
      <c r="E90" s="4">
        <v>235.84870000000001</v>
      </c>
      <c r="F90" s="5">
        <v>1.0663480000000001</v>
      </c>
      <c r="G90" s="5">
        <v>0.36865999999999999</v>
      </c>
    </row>
    <row r="91" spans="1:7" ht="16">
      <c r="A91" s="2">
        <v>45432</v>
      </c>
      <c r="B91" s="5">
        <v>0.170319</v>
      </c>
      <c r="C91" s="4">
        <v>3690.9623000000001</v>
      </c>
      <c r="D91" s="4">
        <v>0.75001799999999996</v>
      </c>
      <c r="E91" s="4">
        <v>235.97130000000001</v>
      </c>
      <c r="F91" s="5">
        <v>1.1095269999999999</v>
      </c>
      <c r="G91" s="5">
        <v>0.367176</v>
      </c>
    </row>
    <row r="92" spans="1:7" ht="16">
      <c r="A92" s="2">
        <v>45433</v>
      </c>
      <c r="B92" s="5">
        <v>0.17025199999999999</v>
      </c>
      <c r="C92" s="4">
        <v>3676.1610999999998</v>
      </c>
      <c r="D92" s="4">
        <v>0.77385800000000005</v>
      </c>
      <c r="E92" s="4">
        <v>235.97409999999999</v>
      </c>
      <c r="F92" s="5">
        <v>1.1104799999999999</v>
      </c>
      <c r="G92" s="5">
        <v>0.36713299999999999</v>
      </c>
    </row>
    <row r="93" spans="1:7" ht="16">
      <c r="A93" s="2">
        <v>45434</v>
      </c>
      <c r="B93" s="5">
        <v>0.16944400000000001</v>
      </c>
      <c r="C93" s="4">
        <v>3684.451</v>
      </c>
      <c r="D93" s="4">
        <v>0.69322799999999996</v>
      </c>
      <c r="E93" s="4">
        <v>236.04230000000001</v>
      </c>
      <c r="F93" s="5">
        <v>1.095936</v>
      </c>
      <c r="G93" s="5">
        <v>0.36732399999999998</v>
      </c>
    </row>
    <row r="94" spans="1:7" ht="16">
      <c r="A94" s="2">
        <v>45435</v>
      </c>
      <c r="B94" s="5">
        <v>0.16684199999999999</v>
      </c>
      <c r="C94" s="4">
        <v>3641.7917000000002</v>
      </c>
      <c r="D94" s="4">
        <v>0.69288300000000003</v>
      </c>
      <c r="E94" s="4">
        <v>236.18989999999999</v>
      </c>
      <c r="F94" s="5">
        <v>1.0946499999999999</v>
      </c>
      <c r="G94" s="5">
        <v>0.367983</v>
      </c>
    </row>
    <row r="95" spans="1:7" ht="16">
      <c r="A95" s="2">
        <v>45436</v>
      </c>
      <c r="B95" s="5">
        <v>0.157971</v>
      </c>
      <c r="C95" s="4">
        <v>3601.4753999999998</v>
      </c>
      <c r="D95" s="4">
        <v>0.73234999999999995</v>
      </c>
      <c r="E95" s="4">
        <v>236.2037</v>
      </c>
      <c r="F95" s="5">
        <v>1.088824</v>
      </c>
      <c r="G95" s="5">
        <v>0.34793200000000002</v>
      </c>
    </row>
    <row r="96" spans="1:7" ht="16">
      <c r="A96" s="2">
        <v>45439</v>
      </c>
      <c r="B96" s="5">
        <v>0.16173499999999999</v>
      </c>
      <c r="C96" s="4">
        <v>3635.7078999999999</v>
      </c>
      <c r="D96" s="4">
        <v>0.64749400000000001</v>
      </c>
      <c r="E96" s="4">
        <v>236.23589999999999</v>
      </c>
      <c r="F96" s="5">
        <v>1.0334950000000001</v>
      </c>
      <c r="G96" s="5">
        <v>0.34665400000000002</v>
      </c>
    </row>
    <row r="97" spans="1:7" ht="16">
      <c r="A97" s="2">
        <v>45440</v>
      </c>
      <c r="B97" s="5">
        <v>0.164995</v>
      </c>
      <c r="C97" s="4">
        <v>3609.1723999999999</v>
      </c>
      <c r="D97" s="4">
        <v>0.64637299999999998</v>
      </c>
      <c r="E97" s="4">
        <v>236.3691</v>
      </c>
      <c r="F97" s="5">
        <v>1.0529409999999999</v>
      </c>
      <c r="G97" s="5">
        <v>0.34648899999999999</v>
      </c>
    </row>
    <row r="98" spans="1:7" ht="16">
      <c r="A98" s="2">
        <v>45441</v>
      </c>
      <c r="B98" s="5">
        <v>0.165995</v>
      </c>
      <c r="C98" s="4">
        <v>3613.5223000000001</v>
      </c>
      <c r="D98" s="4">
        <v>0.66178300000000001</v>
      </c>
      <c r="E98" s="4">
        <v>236.5436</v>
      </c>
      <c r="F98" s="5">
        <v>1.0503279999999999</v>
      </c>
      <c r="G98" s="5">
        <v>0.34595199999999998</v>
      </c>
    </row>
    <row r="99" spans="1:7" ht="16">
      <c r="A99" s="2">
        <v>45442</v>
      </c>
      <c r="B99" s="5">
        <v>0.16251199999999999</v>
      </c>
      <c r="C99" s="4">
        <v>3594.3121000000001</v>
      </c>
      <c r="D99" s="4">
        <v>0.66267699999999996</v>
      </c>
      <c r="E99" s="4">
        <v>236.60319999999999</v>
      </c>
      <c r="F99" s="5">
        <v>1.0510219999999999</v>
      </c>
      <c r="G99" s="5">
        <v>0.34696500000000002</v>
      </c>
    </row>
    <row r="100" spans="1:7" ht="16">
      <c r="A100" s="2">
        <v>45443</v>
      </c>
      <c r="B100" s="5">
        <v>0.16330600000000001</v>
      </c>
      <c r="C100" s="4">
        <v>3579.9247</v>
      </c>
      <c r="D100" s="4">
        <v>0.742815</v>
      </c>
      <c r="E100" s="4">
        <v>236.499</v>
      </c>
      <c r="F100" s="5">
        <v>1.0511790000000001</v>
      </c>
      <c r="G100" s="5">
        <v>0.34700599999999998</v>
      </c>
    </row>
    <row r="101" spans="1:7" ht="16">
      <c r="A101" s="2">
        <v>45446</v>
      </c>
      <c r="B101" s="5">
        <v>0.16156999999999999</v>
      </c>
      <c r="C101" s="4">
        <v>3588.7483000000002</v>
      </c>
      <c r="D101" s="4">
        <v>0.73972400000000005</v>
      </c>
      <c r="E101" s="4">
        <v>236.6671</v>
      </c>
      <c r="F101" s="5">
        <v>1.052959</v>
      </c>
      <c r="G101" s="5">
        <v>0.34742899999999999</v>
      </c>
    </row>
    <row r="102" spans="1:7" ht="16">
      <c r="A102" s="2">
        <v>45447</v>
      </c>
      <c r="B102" s="5">
        <v>0.162795</v>
      </c>
      <c r="C102" s="4">
        <v>3615.6714000000002</v>
      </c>
      <c r="D102" s="4">
        <v>0.73778699999999997</v>
      </c>
      <c r="E102" s="4">
        <v>236.76240000000001</v>
      </c>
      <c r="F102" s="5">
        <v>1.050308</v>
      </c>
      <c r="G102" s="5">
        <v>0.34717599999999998</v>
      </c>
    </row>
    <row r="103" spans="1:7" ht="16">
      <c r="A103" s="2">
        <v>45448</v>
      </c>
      <c r="B103" s="5">
        <v>0.162021</v>
      </c>
      <c r="C103" s="4">
        <v>3594.7936</v>
      </c>
      <c r="D103" s="4">
        <v>0.72760800000000003</v>
      </c>
      <c r="E103" s="4">
        <v>236.91749999999999</v>
      </c>
      <c r="F103" s="5">
        <v>1.054972</v>
      </c>
      <c r="G103" s="5">
        <v>0.34926299999999999</v>
      </c>
    </row>
    <row r="104" spans="1:7" ht="16">
      <c r="A104" s="2">
        <v>45449</v>
      </c>
      <c r="B104" s="5">
        <v>0.16341900000000001</v>
      </c>
      <c r="C104" s="4">
        <v>3592.2453999999998</v>
      </c>
      <c r="D104" s="4">
        <v>0.72304900000000005</v>
      </c>
      <c r="E104" s="4">
        <v>237.03280000000001</v>
      </c>
      <c r="F104" s="5">
        <v>1.0496350000000001</v>
      </c>
      <c r="G104" s="5">
        <v>0.348333</v>
      </c>
    </row>
    <row r="105" spans="1:7" ht="16">
      <c r="A105" s="2">
        <v>45450</v>
      </c>
      <c r="B105" s="5">
        <v>0.19314999999999999</v>
      </c>
      <c r="C105" s="4">
        <v>3574.1143000000002</v>
      </c>
      <c r="D105" s="4">
        <v>0.72020799999999996</v>
      </c>
      <c r="E105" s="4">
        <v>237.10480000000001</v>
      </c>
      <c r="F105" s="5">
        <v>1.087361</v>
      </c>
      <c r="G105" s="5">
        <v>0.34766000000000002</v>
      </c>
    </row>
    <row r="106" spans="1:7" ht="16">
      <c r="A106" s="2">
        <v>45454</v>
      </c>
      <c r="B106" s="5">
        <v>0.19025800000000001</v>
      </c>
      <c r="C106" s="4">
        <v>3542.8771000000002</v>
      </c>
      <c r="D106" s="4">
        <v>0.71742399999999995</v>
      </c>
      <c r="E106" s="4">
        <v>237.27099999999999</v>
      </c>
      <c r="F106" s="5">
        <v>1.0773219999999999</v>
      </c>
      <c r="G106" s="5">
        <v>0.34882800000000003</v>
      </c>
    </row>
    <row r="107" spans="1:7" ht="16">
      <c r="A107" s="2">
        <v>45455</v>
      </c>
      <c r="B107" s="5">
        <v>0.20047100000000001</v>
      </c>
      <c r="C107" s="4">
        <v>3544.1224999999999</v>
      </c>
      <c r="D107" s="4">
        <v>0.713198</v>
      </c>
      <c r="E107" s="4">
        <v>237.30269999999999</v>
      </c>
      <c r="F107" s="5">
        <v>1.0870930000000001</v>
      </c>
      <c r="G107" s="5">
        <v>0.34766200000000003</v>
      </c>
    </row>
    <row r="108" spans="1:7" ht="16">
      <c r="A108" s="2">
        <v>45456</v>
      </c>
      <c r="B108" s="5">
        <v>0.20003499999999999</v>
      </c>
      <c r="C108" s="4">
        <v>3526.1306</v>
      </c>
      <c r="D108" s="4">
        <v>0.71528899999999995</v>
      </c>
      <c r="E108" s="4">
        <v>237.39590000000001</v>
      </c>
      <c r="F108" s="5">
        <v>1.085666</v>
      </c>
      <c r="G108" s="5">
        <v>0.348362</v>
      </c>
    </row>
    <row r="109" spans="1:7" ht="16">
      <c r="A109" s="2">
        <v>45457</v>
      </c>
      <c r="B109" s="5">
        <v>0.167569</v>
      </c>
      <c r="C109" s="4">
        <v>3541.5331000000001</v>
      </c>
      <c r="D109" s="4">
        <v>0.59023400000000004</v>
      </c>
      <c r="E109" s="4">
        <v>237.54949999999999</v>
      </c>
      <c r="F109" s="5">
        <v>1.083709</v>
      </c>
      <c r="G109" s="5">
        <v>0.28790199999999999</v>
      </c>
    </row>
    <row r="110" spans="1:7" ht="16">
      <c r="A110" s="2">
        <v>45460</v>
      </c>
      <c r="B110" s="5">
        <v>0.166912</v>
      </c>
      <c r="C110" s="4">
        <v>3536.1986000000002</v>
      </c>
      <c r="D110" s="4">
        <v>0.60465100000000005</v>
      </c>
      <c r="E110" s="4">
        <v>237.64439999999999</v>
      </c>
      <c r="F110" s="5">
        <v>1</v>
      </c>
      <c r="G110" s="5">
        <v>0.288524</v>
      </c>
    </row>
    <row r="111" spans="1:7" ht="16">
      <c r="A111" s="2">
        <v>45461</v>
      </c>
      <c r="B111" s="5">
        <v>0.16924</v>
      </c>
      <c r="C111" s="4">
        <v>3545.5902000000001</v>
      </c>
      <c r="D111" s="4">
        <v>0.60281300000000004</v>
      </c>
      <c r="E111" s="4">
        <v>237.78819999999999</v>
      </c>
      <c r="F111" s="5">
        <v>1.0233559999999999</v>
      </c>
      <c r="G111" s="5">
        <v>0.28828399999999998</v>
      </c>
    </row>
    <row r="112" spans="1:7" ht="16">
      <c r="A112" s="2">
        <v>45462</v>
      </c>
      <c r="B112" s="5">
        <v>0.17347899999999999</v>
      </c>
      <c r="C112" s="4">
        <v>3528.7489999999998</v>
      </c>
      <c r="D112" s="4">
        <v>0.74019199999999996</v>
      </c>
      <c r="E112" s="4">
        <v>237.89449999999999</v>
      </c>
      <c r="F112" s="5">
        <v>1.001441</v>
      </c>
      <c r="G112" s="5">
        <v>0.31656000000000001</v>
      </c>
    </row>
    <row r="113" spans="1:7" ht="16">
      <c r="A113" s="2">
        <v>45463</v>
      </c>
      <c r="B113" s="5">
        <v>0.17391699999999999</v>
      </c>
      <c r="C113" s="4">
        <v>3503.2817</v>
      </c>
      <c r="D113" s="4">
        <v>0.76668499999999995</v>
      </c>
      <c r="E113" s="4">
        <v>238.01169999999999</v>
      </c>
      <c r="F113" s="5">
        <v>1</v>
      </c>
      <c r="G113" s="5">
        <v>0.31641900000000001</v>
      </c>
    </row>
    <row r="114" spans="1:7" ht="16">
      <c r="A114" s="2">
        <v>45464</v>
      </c>
      <c r="B114" s="5">
        <v>0.17320199999999999</v>
      </c>
      <c r="C114" s="4">
        <v>3495.6197999999999</v>
      </c>
      <c r="D114" s="4">
        <v>0.77295899999999995</v>
      </c>
      <c r="E114" s="4">
        <v>237.90610000000001</v>
      </c>
      <c r="F114" s="5">
        <v>1</v>
      </c>
      <c r="G114" s="5">
        <v>0.31661</v>
      </c>
    </row>
    <row r="115" spans="1:7" ht="16">
      <c r="A115" s="2">
        <v>45467</v>
      </c>
      <c r="B115" s="5">
        <v>0.17178099999999999</v>
      </c>
      <c r="C115" s="4">
        <v>3476.8101999999999</v>
      </c>
      <c r="D115" s="4">
        <v>0.80941200000000002</v>
      </c>
      <c r="E115" s="4">
        <v>238.01570000000001</v>
      </c>
      <c r="F115" s="5">
        <v>1.055145</v>
      </c>
      <c r="G115" s="5">
        <v>0.316911</v>
      </c>
    </row>
    <row r="116" spans="1:7" ht="16">
      <c r="A116" s="2">
        <v>45468</v>
      </c>
      <c r="B116" s="5">
        <v>0.17203299999999999</v>
      </c>
      <c r="C116" s="4">
        <v>3457.9023000000002</v>
      </c>
      <c r="D116" s="4">
        <v>0.81106</v>
      </c>
      <c r="E116" s="4">
        <v>238.1772</v>
      </c>
      <c r="F116" s="5">
        <v>1.051461</v>
      </c>
      <c r="G116" s="5">
        <v>0.37559199999999998</v>
      </c>
    </row>
    <row r="117" spans="1:7" ht="16">
      <c r="A117" s="2">
        <v>45469</v>
      </c>
      <c r="B117" s="5">
        <v>0.16658000000000001</v>
      </c>
      <c r="C117" s="4">
        <v>3480.2647999999999</v>
      </c>
      <c r="D117" s="4">
        <v>0.79136499999999999</v>
      </c>
      <c r="E117" s="4">
        <v>238.25049999999999</v>
      </c>
      <c r="F117" s="5">
        <v>1.049207</v>
      </c>
      <c r="G117" s="5">
        <v>0.36657699999999999</v>
      </c>
    </row>
    <row r="118" spans="1:7" ht="16">
      <c r="A118" s="2">
        <v>45470</v>
      </c>
      <c r="B118" s="5">
        <v>0.16595799999999999</v>
      </c>
      <c r="C118" s="4">
        <v>3454.1174999999998</v>
      </c>
      <c r="D118" s="4">
        <v>0.75746000000000002</v>
      </c>
      <c r="E118" s="4">
        <v>238.41460000000001</v>
      </c>
      <c r="F118" s="5">
        <v>1.0247839999999999</v>
      </c>
      <c r="G118" s="5">
        <v>0.36709700000000001</v>
      </c>
    </row>
    <row r="119" spans="1:7" ht="16">
      <c r="A119" s="2">
        <v>45471</v>
      </c>
      <c r="B119" s="5">
        <v>0.17033200000000001</v>
      </c>
      <c r="C119" s="4">
        <v>3461.6570000000002</v>
      </c>
      <c r="D119" s="4">
        <v>0.754556</v>
      </c>
      <c r="E119" s="4">
        <v>238.54329999999999</v>
      </c>
      <c r="F119" s="5">
        <v>1.030988</v>
      </c>
      <c r="G119" s="5">
        <v>0.36590699999999998</v>
      </c>
    </row>
    <row r="120" spans="1:7" ht="16">
      <c r="A120" s="2">
        <v>45474</v>
      </c>
      <c r="B120" s="5">
        <v>0.174707</v>
      </c>
      <c r="C120" s="4">
        <v>3478.1826999999998</v>
      </c>
      <c r="D120" s="4">
        <v>0.72174099999999997</v>
      </c>
      <c r="E120" s="4">
        <v>238.3038</v>
      </c>
      <c r="F120" s="5">
        <v>1.0255639999999999</v>
      </c>
      <c r="G120" s="5">
        <v>0.36381400000000003</v>
      </c>
    </row>
    <row r="121" spans="1:7" ht="16">
      <c r="A121" s="2">
        <v>45475</v>
      </c>
      <c r="B121" s="5">
        <v>0.17419399999999999</v>
      </c>
      <c r="C121" s="4">
        <v>3471.7856999999999</v>
      </c>
      <c r="D121" s="4">
        <v>0.72027799999999997</v>
      </c>
      <c r="E121" s="4">
        <v>238.41319999999999</v>
      </c>
      <c r="F121" s="5">
        <v>1.0253650000000001</v>
      </c>
      <c r="G121" s="5">
        <v>0.363203</v>
      </c>
    </row>
    <row r="122" spans="1:7" ht="16">
      <c r="A122" s="2">
        <v>45476</v>
      </c>
      <c r="B122" s="5">
        <v>0.17272499999999999</v>
      </c>
      <c r="C122" s="4">
        <v>3463.4141</v>
      </c>
      <c r="D122" s="4">
        <v>0.72029200000000004</v>
      </c>
      <c r="E122" s="4">
        <v>238.5795</v>
      </c>
      <c r="F122" s="5">
        <v>1.023469</v>
      </c>
      <c r="G122" s="5">
        <v>0.36370599999999997</v>
      </c>
    </row>
    <row r="123" spans="1:7" ht="16">
      <c r="A123" s="2">
        <v>45477</v>
      </c>
      <c r="B123" s="5">
        <v>0.172318</v>
      </c>
      <c r="C123" s="4">
        <v>3445.8128000000002</v>
      </c>
      <c r="D123" s="4">
        <v>0.719638</v>
      </c>
      <c r="E123" s="4">
        <v>238.60650000000001</v>
      </c>
      <c r="F123" s="5">
        <v>1.0232829999999999</v>
      </c>
      <c r="G123" s="5">
        <v>0.36368099999999998</v>
      </c>
    </row>
    <row r="124" spans="1:7" ht="16">
      <c r="A124" s="2">
        <v>45478</v>
      </c>
      <c r="B124" s="5">
        <v>0.17252799999999999</v>
      </c>
      <c r="C124" s="4">
        <v>3431.0605</v>
      </c>
      <c r="D124" s="4">
        <v>0.71804299999999999</v>
      </c>
      <c r="E124" s="4">
        <v>238.43520000000001</v>
      </c>
      <c r="F124" s="5">
        <v>1.023161</v>
      </c>
      <c r="G124" s="5">
        <v>0.36337599999999998</v>
      </c>
    </row>
    <row r="125" spans="1:7" ht="16">
      <c r="A125" s="2">
        <v>45481</v>
      </c>
      <c r="B125" s="5">
        <v>0.17307800000000001</v>
      </c>
      <c r="C125" s="4">
        <v>3401.7604000000001</v>
      </c>
      <c r="D125" s="4">
        <v>0.77607199999999998</v>
      </c>
      <c r="E125" s="4">
        <v>238.19390000000001</v>
      </c>
      <c r="F125" s="5">
        <v>1.0228680000000001</v>
      </c>
      <c r="G125" s="5">
        <v>0.363068</v>
      </c>
    </row>
    <row r="126" spans="1:7" ht="16">
      <c r="A126" s="2">
        <v>45482</v>
      </c>
      <c r="B126" s="5">
        <v>0.17494199999999999</v>
      </c>
      <c r="C126" s="4">
        <v>3439.8110999999999</v>
      </c>
      <c r="D126" s="4">
        <v>0.73925600000000002</v>
      </c>
      <c r="E126" s="4">
        <v>238.38640000000001</v>
      </c>
      <c r="F126" s="5">
        <v>1.022383</v>
      </c>
      <c r="G126" s="5">
        <v>0.36216900000000002</v>
      </c>
    </row>
    <row r="127" spans="1:7" ht="16">
      <c r="A127" s="2">
        <v>45483</v>
      </c>
      <c r="B127" s="5">
        <v>0.17066400000000001</v>
      </c>
      <c r="C127" s="4">
        <v>3428.9657000000002</v>
      </c>
      <c r="D127" s="4">
        <v>0.74233800000000005</v>
      </c>
      <c r="E127" s="4">
        <v>238.4282</v>
      </c>
      <c r="F127" s="5">
        <v>1.0369660000000001</v>
      </c>
      <c r="G127" s="5">
        <v>0.36379800000000001</v>
      </c>
    </row>
    <row r="128" spans="1:7" ht="16">
      <c r="A128" s="2">
        <v>45484</v>
      </c>
      <c r="B128" s="5">
        <v>0.17231099999999999</v>
      </c>
      <c r="C128" s="4">
        <v>3468.1689999999999</v>
      </c>
      <c r="D128" s="4">
        <v>0.74070400000000003</v>
      </c>
      <c r="E128" s="4">
        <v>238.4879</v>
      </c>
      <c r="F128" s="5">
        <v>1.0219830000000001</v>
      </c>
      <c r="G128" s="5">
        <v>0.36315700000000001</v>
      </c>
    </row>
    <row r="129" spans="1:7" ht="16">
      <c r="A129" s="2">
        <v>45485</v>
      </c>
      <c r="B129" s="5">
        <v>0.168017</v>
      </c>
      <c r="C129" s="4">
        <v>3472.4014000000002</v>
      </c>
      <c r="D129" s="4">
        <v>0.74196700000000004</v>
      </c>
      <c r="E129" s="4">
        <v>238.61670000000001</v>
      </c>
      <c r="F129" s="5">
        <v>1.0214859999999999</v>
      </c>
      <c r="G129" s="5">
        <v>0.36379800000000001</v>
      </c>
    </row>
    <row r="130" spans="1:7" ht="16">
      <c r="A130" s="2">
        <v>45488</v>
      </c>
      <c r="B130" s="5">
        <v>0.16775899999999999</v>
      </c>
      <c r="C130" s="4">
        <v>3476.2467000000001</v>
      </c>
      <c r="D130" s="4">
        <v>0.73987199999999997</v>
      </c>
      <c r="E130" s="4">
        <v>238.76920000000001</v>
      </c>
      <c r="F130" s="5">
        <v>1.0190319999999999</v>
      </c>
      <c r="G130" s="5">
        <v>0.363039</v>
      </c>
    </row>
    <row r="131" spans="1:7" ht="16">
      <c r="A131" s="2">
        <v>45489</v>
      </c>
      <c r="B131" s="5">
        <v>0.16747999999999999</v>
      </c>
      <c r="C131" s="4">
        <v>3498.2827000000002</v>
      </c>
      <c r="D131" s="4">
        <v>0.74201399999999995</v>
      </c>
      <c r="E131" s="4">
        <v>238.7961</v>
      </c>
      <c r="F131" s="5">
        <v>1.0399529999999999</v>
      </c>
      <c r="G131" s="5">
        <v>0.36304199999999998</v>
      </c>
    </row>
    <row r="132" spans="1:7" ht="16">
      <c r="A132" s="2">
        <v>45490</v>
      </c>
      <c r="B132" s="5">
        <v>0.16624900000000001</v>
      </c>
      <c r="C132" s="4">
        <v>3501.5835999999999</v>
      </c>
      <c r="D132" s="4">
        <v>0.75439900000000004</v>
      </c>
      <c r="E132" s="4">
        <v>238.81780000000001</v>
      </c>
      <c r="F132" s="5">
        <v>1.074451</v>
      </c>
      <c r="G132" s="5">
        <v>0.35378900000000002</v>
      </c>
    </row>
    <row r="133" spans="1:7" ht="16">
      <c r="A133" s="2">
        <v>45491</v>
      </c>
      <c r="B133" s="5">
        <v>0.170407</v>
      </c>
      <c r="C133" s="4">
        <v>3520.931</v>
      </c>
      <c r="D133" s="4">
        <v>0.79209399999999996</v>
      </c>
      <c r="E133" s="4">
        <v>238.77420000000001</v>
      </c>
      <c r="F133" s="5">
        <v>1.0759460000000001</v>
      </c>
      <c r="G133" s="5">
        <v>0.36079</v>
      </c>
    </row>
    <row r="134" spans="1:7" ht="16">
      <c r="A134" s="2">
        <v>45492</v>
      </c>
      <c r="B134" s="5">
        <v>0.17288400000000001</v>
      </c>
      <c r="C134" s="4">
        <v>3539.0156000000002</v>
      </c>
      <c r="D134" s="4">
        <v>0.773648</v>
      </c>
      <c r="E134" s="4">
        <v>238.8083</v>
      </c>
      <c r="F134" s="5">
        <v>1.079078</v>
      </c>
      <c r="G134" s="5">
        <v>0.35554400000000003</v>
      </c>
    </row>
    <row r="135" spans="1:7" ht="16">
      <c r="A135" s="2">
        <v>45495</v>
      </c>
      <c r="B135" s="5">
        <v>0.17096800000000001</v>
      </c>
      <c r="C135" s="4">
        <v>3514.9249</v>
      </c>
      <c r="D135" s="4">
        <v>0.82999699999999998</v>
      </c>
      <c r="E135" s="4">
        <v>239.11150000000001</v>
      </c>
      <c r="F135" s="5">
        <v>1.079288</v>
      </c>
      <c r="G135" s="5">
        <v>0.36805700000000002</v>
      </c>
    </row>
    <row r="136" spans="1:7" ht="16">
      <c r="A136" s="2">
        <v>45496</v>
      </c>
      <c r="B136" s="5">
        <v>0.169624</v>
      </c>
      <c r="C136" s="4">
        <v>3439.8779</v>
      </c>
      <c r="D136" s="4">
        <v>0.82824900000000001</v>
      </c>
      <c r="E136" s="4">
        <v>239.31469999999999</v>
      </c>
      <c r="F136" s="5">
        <v>1.075048</v>
      </c>
      <c r="G136" s="5">
        <v>0.36724000000000001</v>
      </c>
    </row>
    <row r="137" spans="1:7" ht="16">
      <c r="A137" s="2">
        <v>45497</v>
      </c>
      <c r="B137" s="5">
        <v>0.17555999999999999</v>
      </c>
      <c r="C137" s="4">
        <v>3418.1662999999999</v>
      </c>
      <c r="D137" s="4">
        <v>0.82266600000000001</v>
      </c>
      <c r="E137" s="4">
        <v>239.40100000000001</v>
      </c>
      <c r="F137" s="5">
        <v>1.07196</v>
      </c>
      <c r="G137" s="5">
        <v>0.36557600000000001</v>
      </c>
    </row>
    <row r="138" spans="1:7" ht="16">
      <c r="A138" s="2">
        <v>45498</v>
      </c>
      <c r="B138" s="5">
        <v>0.17424300000000001</v>
      </c>
      <c r="C138" s="4">
        <v>3399.2716</v>
      </c>
      <c r="D138" s="4">
        <v>0.81559700000000002</v>
      </c>
      <c r="E138" s="4">
        <v>239.61099999999999</v>
      </c>
      <c r="F138" s="5">
        <v>1.062516</v>
      </c>
      <c r="G138" s="5">
        <v>0.36534</v>
      </c>
    </row>
    <row r="139" spans="1:7" ht="16">
      <c r="A139" s="2">
        <v>45499</v>
      </c>
      <c r="B139" s="5">
        <v>0.174572</v>
      </c>
      <c r="C139" s="4">
        <v>3409.2930999999999</v>
      </c>
      <c r="D139" s="4">
        <v>0.80427800000000005</v>
      </c>
      <c r="E139" s="4">
        <v>239.7809</v>
      </c>
      <c r="F139" s="5">
        <v>1.0628249999999999</v>
      </c>
      <c r="G139" s="5">
        <v>0.36533900000000002</v>
      </c>
    </row>
    <row r="140" spans="1:7" ht="16">
      <c r="A140" s="2">
        <v>45502</v>
      </c>
      <c r="B140" s="5">
        <v>0.17546500000000001</v>
      </c>
      <c r="C140" s="4">
        <v>3390.7420000000002</v>
      </c>
      <c r="D140" s="4">
        <v>0.80648799999999998</v>
      </c>
      <c r="E140" s="4">
        <v>240.0307</v>
      </c>
      <c r="F140" s="5">
        <v>1.0629729999999999</v>
      </c>
      <c r="G140" s="5">
        <v>0.36445499999999997</v>
      </c>
    </row>
    <row r="141" spans="1:7" ht="16">
      <c r="A141" s="2">
        <v>45503</v>
      </c>
      <c r="B141" s="5">
        <v>0.173429</v>
      </c>
      <c r="C141" s="4">
        <v>3369.3820999999998</v>
      </c>
      <c r="D141" s="4">
        <v>0.794678</v>
      </c>
      <c r="E141" s="4">
        <v>240.23820000000001</v>
      </c>
      <c r="F141" s="5">
        <v>1.0627470000000001</v>
      </c>
      <c r="G141" s="5">
        <v>0.36512099999999997</v>
      </c>
    </row>
    <row r="142" spans="1:7" ht="16">
      <c r="A142" s="2">
        <v>45504</v>
      </c>
      <c r="B142" s="5">
        <v>0.17527799999999999</v>
      </c>
      <c r="C142" s="4">
        <v>3442.0844000000002</v>
      </c>
      <c r="D142" s="4">
        <v>0.77918699999999996</v>
      </c>
      <c r="E142" s="4">
        <v>240.37100000000001</v>
      </c>
      <c r="F142" s="5">
        <v>1.0542910000000001</v>
      </c>
      <c r="G142" s="5">
        <v>0.36438700000000002</v>
      </c>
    </row>
    <row r="143" spans="1:7" ht="16">
      <c r="A143" s="2">
        <v>45505</v>
      </c>
      <c r="B143" s="5">
        <v>0.174787</v>
      </c>
      <c r="C143" s="4">
        <v>3419.2665999999999</v>
      </c>
      <c r="D143" s="4">
        <v>0.78414399999999995</v>
      </c>
      <c r="E143" s="4">
        <v>240.5737</v>
      </c>
      <c r="F143" s="5">
        <v>1.055064</v>
      </c>
      <c r="G143" s="5">
        <v>0.36473499999999998</v>
      </c>
    </row>
    <row r="144" spans="1:7" ht="16">
      <c r="A144" s="2">
        <v>45506</v>
      </c>
      <c r="B144" s="5">
        <v>0.17294799999999999</v>
      </c>
      <c r="C144" s="4">
        <v>3384.3919000000001</v>
      </c>
      <c r="D144" s="4">
        <v>0.79054199999999997</v>
      </c>
      <c r="E144" s="4">
        <v>240.7533</v>
      </c>
      <c r="F144" s="5">
        <v>1.045118</v>
      </c>
      <c r="G144" s="5">
        <v>0.36525600000000003</v>
      </c>
    </row>
    <row r="145" spans="1:7" ht="16">
      <c r="A145" s="2">
        <v>45509</v>
      </c>
      <c r="B145" s="5">
        <v>0.16530500000000001</v>
      </c>
      <c r="C145" s="4">
        <v>3343.3204999999998</v>
      </c>
      <c r="D145" s="4">
        <v>0.77206799999999998</v>
      </c>
      <c r="E145" s="4">
        <v>240.97730000000001</v>
      </c>
      <c r="F145" s="5">
        <v>1.04277</v>
      </c>
      <c r="G145" s="5">
        <v>0.35550199999999998</v>
      </c>
    </row>
    <row r="146" spans="1:7" ht="16">
      <c r="A146" s="2">
        <v>45510</v>
      </c>
      <c r="B146" s="5">
        <v>0.16342300000000001</v>
      </c>
      <c r="C146" s="4">
        <v>3342.9789000000001</v>
      </c>
      <c r="D146" s="4">
        <v>0.76187000000000005</v>
      </c>
      <c r="E146" s="4">
        <v>240.83500000000001</v>
      </c>
      <c r="F146" s="5">
        <v>1.0142850000000001</v>
      </c>
      <c r="G146" s="5">
        <v>0.35583300000000001</v>
      </c>
    </row>
    <row r="147" spans="1:7" ht="16">
      <c r="A147" s="2">
        <v>45511</v>
      </c>
      <c r="B147" s="5">
        <v>0.147594</v>
      </c>
      <c r="C147" s="4">
        <v>3341.489</v>
      </c>
      <c r="D147" s="4">
        <v>0.680724</v>
      </c>
      <c r="E147" s="4">
        <v>241.00059999999999</v>
      </c>
      <c r="F147" s="5">
        <v>1.005028</v>
      </c>
      <c r="G147" s="5">
        <v>0.31976300000000002</v>
      </c>
    </row>
    <row r="148" spans="1:7" ht="16">
      <c r="A148" s="2">
        <v>45512</v>
      </c>
      <c r="B148" s="5">
        <v>0.147011</v>
      </c>
      <c r="C148" s="4">
        <v>3342.9369000000002</v>
      </c>
      <c r="D148" s="4">
        <v>0.68174199999999996</v>
      </c>
      <c r="E148" s="4">
        <v>240.78579999999999</v>
      </c>
      <c r="F148" s="5">
        <v>1.0199560000000001</v>
      </c>
      <c r="G148" s="5">
        <v>0.32008900000000001</v>
      </c>
    </row>
    <row r="149" spans="1:7" ht="16">
      <c r="A149" s="2">
        <v>45513</v>
      </c>
      <c r="B149" s="5">
        <v>0.15542900000000001</v>
      </c>
      <c r="C149" s="4">
        <v>3331.6273999999999</v>
      </c>
      <c r="D149" s="4">
        <v>0.87531199999999998</v>
      </c>
      <c r="E149" s="4">
        <v>240.50620000000001</v>
      </c>
      <c r="F149" s="5">
        <v>1.020913</v>
      </c>
      <c r="G149" s="5">
        <v>0.348325</v>
      </c>
    </row>
    <row r="150" spans="1:7" ht="16">
      <c r="A150" s="2">
        <v>45516</v>
      </c>
      <c r="B150" s="5">
        <v>0.156087</v>
      </c>
      <c r="C150" s="4">
        <v>3325.8645000000001</v>
      </c>
      <c r="D150" s="4">
        <v>0.87903299999999995</v>
      </c>
      <c r="E150" s="4">
        <v>239.9117</v>
      </c>
      <c r="F150" s="5">
        <v>1.020232</v>
      </c>
      <c r="G150" s="5">
        <v>0.34800799999999998</v>
      </c>
    </row>
    <row r="151" spans="1:7" ht="16">
      <c r="A151" s="2">
        <v>45517</v>
      </c>
      <c r="B151" s="5">
        <v>0.15632799999999999</v>
      </c>
      <c r="C151" s="4">
        <v>3334.3903</v>
      </c>
      <c r="D151" s="4">
        <v>0.88188900000000003</v>
      </c>
      <c r="E151" s="4">
        <v>240.083</v>
      </c>
      <c r="F151" s="5">
        <v>1.0022139999999999</v>
      </c>
      <c r="G151" s="5">
        <v>0.34787400000000002</v>
      </c>
    </row>
    <row r="152" spans="1:7" ht="16">
      <c r="A152" s="2">
        <v>45518</v>
      </c>
      <c r="B152" s="5">
        <v>0.155559</v>
      </c>
      <c r="C152" s="4">
        <v>3309.2388999999998</v>
      </c>
      <c r="D152" s="4">
        <v>0.91203599999999996</v>
      </c>
      <c r="E152" s="4">
        <v>240.49459999999999</v>
      </c>
      <c r="F152" s="5">
        <v>1.0022629999999999</v>
      </c>
      <c r="G152" s="5">
        <v>0.34770800000000002</v>
      </c>
    </row>
    <row r="153" spans="1:7" ht="16">
      <c r="A153" s="2">
        <v>45519</v>
      </c>
      <c r="B153" s="5">
        <v>0.15762399999999999</v>
      </c>
      <c r="C153" s="4">
        <v>3341.953</v>
      </c>
      <c r="D153" s="4">
        <v>0.91546799999999995</v>
      </c>
      <c r="E153" s="4">
        <v>240.33840000000001</v>
      </c>
      <c r="F153" s="5">
        <v>1.002335</v>
      </c>
      <c r="G153" s="5">
        <v>0.34558499999999998</v>
      </c>
    </row>
    <row r="154" spans="1:7" ht="16">
      <c r="A154" s="2">
        <v>45520</v>
      </c>
      <c r="B154" s="5">
        <v>0.15749199999999999</v>
      </c>
      <c r="C154" s="4">
        <v>3345.634</v>
      </c>
      <c r="D154" s="4">
        <v>0.93798599999999999</v>
      </c>
      <c r="E154" s="4">
        <v>240.36089999999999</v>
      </c>
      <c r="F154" s="5">
        <v>1.002027</v>
      </c>
      <c r="G154" s="5">
        <v>0.34553800000000001</v>
      </c>
    </row>
    <row r="155" spans="1:7" ht="16">
      <c r="A155" s="2">
        <v>45523</v>
      </c>
      <c r="B155" s="5">
        <v>0.161493</v>
      </c>
      <c r="C155" s="4">
        <v>3356.9677000000001</v>
      </c>
      <c r="D155" s="4">
        <v>0.92990600000000001</v>
      </c>
      <c r="E155" s="4">
        <v>240.47649999999999</v>
      </c>
      <c r="F155" s="5">
        <v>1.001555</v>
      </c>
      <c r="G155" s="5">
        <v>0.34470200000000001</v>
      </c>
    </row>
    <row r="156" spans="1:7" ht="16">
      <c r="A156" s="2">
        <v>45524</v>
      </c>
      <c r="B156" s="5">
        <v>0.158191</v>
      </c>
      <c r="C156" s="4">
        <v>3332.7033999999999</v>
      </c>
      <c r="D156" s="4">
        <v>0.93908599999999998</v>
      </c>
      <c r="E156" s="4">
        <v>240.55260000000001</v>
      </c>
      <c r="F156" s="5">
        <v>1.0017180000000001</v>
      </c>
      <c r="G156" s="5">
        <v>0.34529900000000002</v>
      </c>
    </row>
    <row r="157" spans="1:7" ht="16">
      <c r="A157" s="2">
        <v>45525</v>
      </c>
      <c r="B157" s="5">
        <v>0.15420400000000001</v>
      </c>
      <c r="C157" s="4">
        <v>3321.6350000000002</v>
      </c>
      <c r="D157" s="4">
        <v>0.958067</v>
      </c>
      <c r="E157" s="4">
        <v>240.46950000000001</v>
      </c>
      <c r="F157" s="5">
        <v>1.001393</v>
      </c>
      <c r="G157" s="5">
        <v>0.357599</v>
      </c>
    </row>
    <row r="158" spans="1:7" ht="16">
      <c r="A158" s="2">
        <v>45526</v>
      </c>
      <c r="B158" s="5">
        <v>0.15453</v>
      </c>
      <c r="C158" s="4">
        <v>3313.1356999999998</v>
      </c>
      <c r="D158" s="4">
        <v>0.95489999999999997</v>
      </c>
      <c r="E158" s="4">
        <v>240.59790000000001</v>
      </c>
      <c r="F158" s="5">
        <v>1.0012700000000001</v>
      </c>
      <c r="G158" s="5">
        <v>0.35749300000000001</v>
      </c>
    </row>
    <row r="159" spans="1:7" ht="16">
      <c r="A159" s="2">
        <v>45527</v>
      </c>
      <c r="B159" s="5">
        <v>0.15445900000000001</v>
      </c>
      <c r="C159" s="4">
        <v>3327.1905000000002</v>
      </c>
      <c r="D159" s="4">
        <v>0.96051399999999998</v>
      </c>
      <c r="E159" s="4">
        <v>240.62459999999999</v>
      </c>
      <c r="F159" s="5">
        <v>1.0008280000000001</v>
      </c>
      <c r="G159" s="5">
        <v>0.35759800000000003</v>
      </c>
    </row>
    <row r="160" spans="1:7" ht="16">
      <c r="A160" s="2">
        <v>45530</v>
      </c>
      <c r="B160" s="5">
        <v>0.15431900000000001</v>
      </c>
      <c r="C160" s="4">
        <v>3324.2231000000002</v>
      </c>
      <c r="D160" s="4">
        <v>0.943519</v>
      </c>
      <c r="E160" s="4">
        <v>240.65880000000001</v>
      </c>
      <c r="F160" s="5">
        <v>1.001439</v>
      </c>
      <c r="G160" s="5">
        <v>0.35746099999999997</v>
      </c>
    </row>
    <row r="161" spans="1:7" ht="16">
      <c r="A161" s="2">
        <v>45531</v>
      </c>
      <c r="B161" s="5">
        <v>0.15420700000000001</v>
      </c>
      <c r="C161" s="4">
        <v>3305.3337999999999</v>
      </c>
      <c r="D161" s="4">
        <v>0.93304299999999996</v>
      </c>
      <c r="E161" s="4">
        <v>240.4118</v>
      </c>
      <c r="F161" s="5">
        <v>1.0008280000000001</v>
      </c>
      <c r="G161" s="5">
        <v>0.35691200000000001</v>
      </c>
    </row>
    <row r="162" spans="1:7" ht="16">
      <c r="A162" s="2">
        <v>45532</v>
      </c>
      <c r="B162" s="5">
        <v>0.15387700000000001</v>
      </c>
      <c r="C162" s="4">
        <v>3286.4956000000002</v>
      </c>
      <c r="D162" s="4">
        <v>0.94816400000000001</v>
      </c>
      <c r="E162" s="4">
        <v>240.49279999999999</v>
      </c>
      <c r="F162" s="5">
        <v>1.0013110000000001</v>
      </c>
      <c r="G162" s="5">
        <v>0.35690300000000003</v>
      </c>
    </row>
    <row r="163" spans="1:7" ht="16">
      <c r="A163" s="2">
        <v>45533</v>
      </c>
      <c r="B163" s="5">
        <v>0.15249399999999999</v>
      </c>
      <c r="C163" s="4">
        <v>3277.6812</v>
      </c>
      <c r="D163" s="4">
        <v>0.94266799999999995</v>
      </c>
      <c r="E163" s="4">
        <v>240.5069</v>
      </c>
      <c r="F163" s="5">
        <v>1.0018590000000001</v>
      </c>
      <c r="G163" s="5">
        <v>0.357574</v>
      </c>
    </row>
    <row r="164" spans="1:7" ht="16">
      <c r="A164" s="2">
        <v>45534</v>
      </c>
      <c r="B164" s="5">
        <v>0.15417700000000001</v>
      </c>
      <c r="C164" s="4">
        <v>3321.4322999999999</v>
      </c>
      <c r="D164" s="4">
        <v>0.95196999999999998</v>
      </c>
      <c r="E164" s="4">
        <v>240.4802</v>
      </c>
      <c r="F164" s="5">
        <v>1.00627</v>
      </c>
      <c r="G164" s="5">
        <v>0.35773899999999997</v>
      </c>
    </row>
    <row r="165" spans="1:7" ht="16">
      <c r="A165" s="2">
        <v>45537</v>
      </c>
      <c r="B165" s="5">
        <v>0.153754</v>
      </c>
      <c r="C165" s="4">
        <v>3265.011</v>
      </c>
      <c r="D165" s="4">
        <v>0.95421</v>
      </c>
      <c r="E165" s="4">
        <v>240.8075</v>
      </c>
      <c r="F165" s="5">
        <v>1.007145</v>
      </c>
      <c r="G165" s="5">
        <v>0.35746699999999998</v>
      </c>
    </row>
    <row r="166" spans="1:7" ht="16">
      <c r="A166" s="2">
        <v>45538</v>
      </c>
      <c r="B166" s="5">
        <v>0.15265100000000001</v>
      </c>
      <c r="C166" s="4">
        <v>3273.4281999999998</v>
      </c>
      <c r="D166" s="4">
        <v>0.953569</v>
      </c>
      <c r="E166" s="4">
        <v>240.92840000000001</v>
      </c>
      <c r="F166" s="5">
        <v>1.007401</v>
      </c>
      <c r="G166" s="5">
        <v>0.35814499999999999</v>
      </c>
    </row>
    <row r="167" spans="1:7" ht="16">
      <c r="A167" s="2">
        <v>45539</v>
      </c>
      <c r="B167" s="5">
        <v>0.15201999999999999</v>
      </c>
      <c r="C167" s="4">
        <v>3252.1649000000002</v>
      </c>
      <c r="D167" s="4">
        <v>0.95582400000000001</v>
      </c>
      <c r="E167" s="4">
        <v>241.0942</v>
      </c>
      <c r="F167" s="5">
        <v>1.0083629999999999</v>
      </c>
      <c r="G167" s="5">
        <v>0.358879</v>
      </c>
    </row>
    <row r="168" spans="1:7" ht="16">
      <c r="A168" s="2">
        <v>45540</v>
      </c>
      <c r="B168" s="5">
        <v>0.15185699999999999</v>
      </c>
      <c r="C168" s="4">
        <v>3257.7577999999999</v>
      </c>
      <c r="D168" s="4">
        <v>0.959399</v>
      </c>
      <c r="E168" s="4">
        <v>241.29589999999999</v>
      </c>
      <c r="F168" s="5">
        <v>1</v>
      </c>
      <c r="G168" s="5">
        <v>0.35905999999999999</v>
      </c>
    </row>
    <row r="169" spans="1:7" ht="16">
      <c r="A169" s="2">
        <v>45541</v>
      </c>
      <c r="B169" s="5">
        <v>0.15060699999999999</v>
      </c>
      <c r="C169" s="4">
        <v>3231.3456999999999</v>
      </c>
      <c r="D169" s="4">
        <v>0.96739799999999998</v>
      </c>
      <c r="E169" s="4">
        <v>241.35419999999999</v>
      </c>
      <c r="F169" s="5">
        <v>1.020122</v>
      </c>
      <c r="G169" s="5">
        <v>0.35902800000000001</v>
      </c>
    </row>
    <row r="170" spans="1:7" ht="16">
      <c r="A170" s="2">
        <v>45544</v>
      </c>
      <c r="B170" s="5">
        <v>0.150116</v>
      </c>
      <c r="C170" s="4">
        <v>3192.9515999999999</v>
      </c>
      <c r="D170" s="4">
        <v>1.0254559999999999</v>
      </c>
      <c r="E170" s="4">
        <v>241.5496</v>
      </c>
      <c r="F170" s="5">
        <v>1.0234129999999999</v>
      </c>
      <c r="G170" s="5">
        <v>0.36507200000000001</v>
      </c>
    </row>
    <row r="171" spans="1:7" ht="16">
      <c r="A171" s="2">
        <v>45545</v>
      </c>
      <c r="B171" s="5">
        <v>0.15093300000000001</v>
      </c>
      <c r="C171" s="4">
        <v>3195.7552000000001</v>
      </c>
      <c r="D171" s="4">
        <v>1.0766690000000001</v>
      </c>
      <c r="E171" s="4">
        <v>241.72329999999999</v>
      </c>
      <c r="F171" s="5">
        <v>1.0194939999999999</v>
      </c>
      <c r="G171" s="5">
        <v>0.371614</v>
      </c>
    </row>
    <row r="172" spans="1:7" ht="16">
      <c r="A172" s="2">
        <v>45546</v>
      </c>
      <c r="B172" s="5">
        <v>0.146259</v>
      </c>
      <c r="C172" s="4">
        <v>3186.1298999999999</v>
      </c>
      <c r="D172" s="4">
        <v>1.0881449999999999</v>
      </c>
      <c r="E172" s="4">
        <v>241.8981</v>
      </c>
      <c r="F172" s="5">
        <v>1.0186630000000001</v>
      </c>
      <c r="G172" s="5">
        <v>0.37316500000000002</v>
      </c>
    </row>
    <row r="173" spans="1:7" ht="16">
      <c r="A173" s="2">
        <v>45547</v>
      </c>
      <c r="B173" s="5">
        <v>0.14643700000000001</v>
      </c>
      <c r="C173" s="4">
        <v>3172.4747000000002</v>
      </c>
      <c r="D173" s="4">
        <v>1.0780879999999999</v>
      </c>
      <c r="E173" s="4">
        <v>242.00120000000001</v>
      </c>
      <c r="F173" s="5">
        <v>1.018653</v>
      </c>
      <c r="G173" s="5">
        <v>0.372946</v>
      </c>
    </row>
    <row r="174" spans="1:7" ht="16">
      <c r="A174" s="2">
        <v>45548</v>
      </c>
      <c r="B174" s="5">
        <v>0.14476900000000001</v>
      </c>
      <c r="C174" s="4">
        <v>3159.2469999999998</v>
      </c>
      <c r="D174" s="4">
        <v>1.09361</v>
      </c>
      <c r="E174" s="4">
        <v>242.18450000000001</v>
      </c>
      <c r="F174" s="5">
        <v>1.023258</v>
      </c>
      <c r="G174" s="5">
        <v>0.38163999999999998</v>
      </c>
    </row>
    <row r="175" spans="1:7" ht="16">
      <c r="A175" s="2">
        <v>45553</v>
      </c>
      <c r="B175" s="5">
        <v>0.14532600000000001</v>
      </c>
      <c r="C175" s="4">
        <v>3171.0102000000002</v>
      </c>
      <c r="D175" s="4">
        <v>1.0928260000000001</v>
      </c>
      <c r="E175" s="4">
        <v>242.64279999999999</v>
      </c>
      <c r="F175" s="5">
        <v>1.0190870000000001</v>
      </c>
      <c r="G175" s="5">
        <v>0.38108700000000001</v>
      </c>
    </row>
    <row r="176" spans="1:7" ht="16">
      <c r="A176" s="2">
        <v>45554</v>
      </c>
      <c r="B176" s="5">
        <v>0.14698</v>
      </c>
      <c r="C176" s="4">
        <v>3196.0356999999999</v>
      </c>
      <c r="D176" s="4">
        <v>1.095601</v>
      </c>
      <c r="E176" s="4">
        <v>242.62790000000001</v>
      </c>
      <c r="F176" s="5">
        <v>1.018751</v>
      </c>
      <c r="G176" s="5">
        <v>0.38027699999999998</v>
      </c>
    </row>
    <row r="177" spans="1:7" ht="16">
      <c r="A177" s="2">
        <v>45555</v>
      </c>
      <c r="B177" s="5">
        <v>0.14846599999999999</v>
      </c>
      <c r="C177" s="4">
        <v>3201.0497</v>
      </c>
      <c r="D177" s="4">
        <v>1.079099</v>
      </c>
      <c r="E177" s="4">
        <v>242.6053</v>
      </c>
      <c r="F177" s="5">
        <v>1.018689</v>
      </c>
      <c r="G177" s="5">
        <v>0.379996</v>
      </c>
    </row>
    <row r="178" spans="1:7" ht="16">
      <c r="A178" s="2">
        <v>45558</v>
      </c>
      <c r="B178" s="5">
        <v>0.14912300000000001</v>
      </c>
      <c r="C178" s="4">
        <v>3212.7638999999999</v>
      </c>
      <c r="D178" s="4">
        <v>1.0924929999999999</v>
      </c>
      <c r="E178" s="4">
        <v>242.7072</v>
      </c>
      <c r="F178" s="5">
        <v>1.018662</v>
      </c>
      <c r="G178" s="5">
        <v>0.37901499999999999</v>
      </c>
    </row>
    <row r="179" spans="1:7" ht="16">
      <c r="A179" s="2">
        <v>45559</v>
      </c>
      <c r="B179" s="5">
        <v>0.15628800000000001</v>
      </c>
      <c r="C179" s="4">
        <v>3351.9090000000001</v>
      </c>
      <c r="D179" s="4">
        <v>1.0708960000000001</v>
      </c>
      <c r="E179" s="4">
        <v>242.47569999999999</v>
      </c>
      <c r="F179" s="5">
        <v>1.0185550000000001</v>
      </c>
      <c r="G179" s="5">
        <v>0.37668600000000002</v>
      </c>
    </row>
    <row r="180" spans="1:7" ht="16">
      <c r="A180" s="2">
        <v>45560</v>
      </c>
      <c r="B180" s="5">
        <v>0.15683900000000001</v>
      </c>
      <c r="C180" s="4">
        <v>3401.5329999999999</v>
      </c>
      <c r="D180" s="4">
        <v>1.0927100000000001</v>
      </c>
      <c r="E180" s="4">
        <v>242.6669</v>
      </c>
      <c r="F180" s="5">
        <v>1.018295</v>
      </c>
      <c r="G180" s="5">
        <v>0.37604300000000002</v>
      </c>
    </row>
    <row r="181" spans="1:7" ht="16">
      <c r="A181" s="2">
        <v>45561</v>
      </c>
      <c r="B181" s="5">
        <v>0.161796</v>
      </c>
      <c r="C181" s="4">
        <v>3545.3204000000001</v>
      </c>
      <c r="D181" s="4">
        <v>1.072152</v>
      </c>
      <c r="E181" s="4">
        <v>242.4811</v>
      </c>
      <c r="F181" s="5">
        <v>1.0180849999999999</v>
      </c>
      <c r="G181" s="5">
        <v>0.374361</v>
      </c>
    </row>
    <row r="182" spans="1:7" ht="16">
      <c r="A182" s="2">
        <v>45562</v>
      </c>
      <c r="B182" s="5">
        <v>0.16420999999999999</v>
      </c>
      <c r="C182" s="4">
        <v>3703.6849000000002</v>
      </c>
      <c r="D182" s="4">
        <v>1.0676399999999999</v>
      </c>
      <c r="E182" s="4">
        <v>241.3006</v>
      </c>
      <c r="F182" s="5">
        <v>1.0179480000000001</v>
      </c>
      <c r="G182" s="5">
        <v>0.37351000000000001</v>
      </c>
    </row>
    <row r="183" spans="1:7" ht="16">
      <c r="A183" s="2">
        <v>45565</v>
      </c>
      <c r="B183" s="5">
        <v>0.17561399999999999</v>
      </c>
      <c r="C183" s="4">
        <v>4017.8544999999999</v>
      </c>
      <c r="D183" s="4">
        <v>1.043018</v>
      </c>
      <c r="E183" s="4">
        <v>240.68090000000001</v>
      </c>
      <c r="F183" s="5">
        <v>1.017768</v>
      </c>
      <c r="G183" s="5">
        <v>0.369452</v>
      </c>
    </row>
    <row r="184" spans="1:7" ht="16">
      <c r="A184" s="2">
        <v>45573</v>
      </c>
      <c r="B184" s="5">
        <v>0.177677</v>
      </c>
      <c r="C184" s="4">
        <v>4256.0962</v>
      </c>
      <c r="D184" s="4">
        <v>1.0654570000000001</v>
      </c>
      <c r="E184" s="4">
        <v>240.48339999999999</v>
      </c>
      <c r="F184" s="5">
        <v>1.018141</v>
      </c>
      <c r="G184" s="5">
        <v>0.36898900000000001</v>
      </c>
    </row>
    <row r="185" spans="1:7" ht="16">
      <c r="A185" s="2">
        <v>45574</v>
      </c>
      <c r="B185" s="5">
        <v>0.16428100000000001</v>
      </c>
      <c r="C185" s="4">
        <v>3955.9839000000002</v>
      </c>
      <c r="D185" s="4">
        <v>1.123999</v>
      </c>
      <c r="E185" s="4">
        <v>240.47300000000001</v>
      </c>
      <c r="F185" s="5">
        <v>1.0182340000000001</v>
      </c>
      <c r="G185" s="5">
        <v>0.37316300000000002</v>
      </c>
    </row>
    <row r="186" spans="1:7" ht="16">
      <c r="A186" s="2">
        <v>45575</v>
      </c>
      <c r="B186" s="5">
        <v>0.167517</v>
      </c>
      <c r="C186" s="4">
        <v>3997.7878999999998</v>
      </c>
      <c r="D186" s="4">
        <v>1.1047819999999999</v>
      </c>
      <c r="E186" s="4">
        <v>241.0076</v>
      </c>
      <c r="F186" s="5">
        <v>1.0178659999999999</v>
      </c>
      <c r="G186" s="5">
        <v>0.37166700000000003</v>
      </c>
    </row>
    <row r="187" spans="1:7" ht="16">
      <c r="A187" s="2">
        <v>45576</v>
      </c>
      <c r="B187" s="5">
        <v>0.16566800000000001</v>
      </c>
      <c r="C187" s="4">
        <v>3887.1669999999999</v>
      </c>
      <c r="D187" s="4">
        <v>1.1410009999999999</v>
      </c>
      <c r="E187" s="4">
        <v>241.2886</v>
      </c>
      <c r="F187" s="5">
        <v>1.017568</v>
      </c>
      <c r="G187" s="5">
        <v>0.37121799999999999</v>
      </c>
    </row>
    <row r="188" spans="1:7" ht="16">
      <c r="A188" s="2">
        <v>45579</v>
      </c>
      <c r="B188" s="5">
        <v>0.17036899999999999</v>
      </c>
      <c r="C188" s="4">
        <v>3961.3424</v>
      </c>
      <c r="D188" s="4">
        <v>1.084457</v>
      </c>
      <c r="E188" s="4">
        <v>241.4058</v>
      </c>
      <c r="F188" s="5">
        <v>1.0358879999999999</v>
      </c>
      <c r="G188" s="5">
        <v>0.35240300000000002</v>
      </c>
    </row>
    <row r="189" spans="1:7" ht="16">
      <c r="A189" s="2">
        <v>45580</v>
      </c>
      <c r="B189" s="5">
        <v>0.185445</v>
      </c>
      <c r="C189" s="4">
        <v>3855.9949000000001</v>
      </c>
      <c r="D189" s="4">
        <v>1.110249</v>
      </c>
      <c r="E189" s="4">
        <v>241.45519999999999</v>
      </c>
      <c r="F189" s="5">
        <v>1.012052</v>
      </c>
      <c r="G189" s="5">
        <v>0.353099</v>
      </c>
    </row>
    <row r="190" spans="1:7" ht="16">
      <c r="A190" s="2">
        <v>45581</v>
      </c>
      <c r="B190" s="5">
        <v>0.204258</v>
      </c>
      <c r="C190" s="4">
        <v>3831.5889999999999</v>
      </c>
      <c r="D190" s="4">
        <v>1.141613</v>
      </c>
      <c r="E190" s="4">
        <v>241.483</v>
      </c>
      <c r="F190" s="5">
        <v>1.0291429999999999</v>
      </c>
      <c r="G190" s="5">
        <v>0.35444900000000001</v>
      </c>
    </row>
    <row r="191" spans="1:7" ht="16">
      <c r="A191" s="2">
        <v>45582</v>
      </c>
      <c r="B191" s="5">
        <v>0.20088600000000001</v>
      </c>
      <c r="C191" s="4">
        <v>3788.2217000000001</v>
      </c>
      <c r="D191" s="4">
        <v>1.162215</v>
      </c>
      <c r="E191" s="4">
        <v>241.6712</v>
      </c>
      <c r="F191" s="5">
        <v>1.030967</v>
      </c>
      <c r="G191" s="5">
        <v>0.35487400000000002</v>
      </c>
    </row>
    <row r="192" spans="1:7" ht="16">
      <c r="A192" s="2">
        <v>45583</v>
      </c>
      <c r="B192" s="5">
        <v>0.203037</v>
      </c>
      <c r="C192" s="4">
        <v>3925.2339999999999</v>
      </c>
      <c r="D192" s="4">
        <v>1.191708</v>
      </c>
      <c r="E192" s="4">
        <v>241.6781</v>
      </c>
      <c r="F192" s="5">
        <v>1.0273639999999999</v>
      </c>
      <c r="G192" s="5">
        <v>0.35410199999999997</v>
      </c>
    </row>
    <row r="193" spans="1:7" ht="16">
      <c r="A193" s="2">
        <v>45586</v>
      </c>
      <c r="B193" s="5">
        <v>0.20303299999999999</v>
      </c>
      <c r="C193" s="4">
        <v>3935.1974</v>
      </c>
      <c r="D193" s="4">
        <v>1.2008559999999999</v>
      </c>
      <c r="E193" s="4">
        <v>241.65010000000001</v>
      </c>
      <c r="F193" s="5">
        <v>1.0273429999999999</v>
      </c>
      <c r="G193" s="5">
        <v>0.35355399999999998</v>
      </c>
    </row>
    <row r="194" spans="1:7" ht="16">
      <c r="A194" s="2">
        <v>45587</v>
      </c>
      <c r="B194" s="5">
        <v>0.20410300000000001</v>
      </c>
      <c r="C194" s="4">
        <v>3957.7755000000002</v>
      </c>
      <c r="D194" s="4">
        <v>1.218683</v>
      </c>
      <c r="E194" s="4">
        <v>241.4477</v>
      </c>
      <c r="F194" s="5">
        <v>1.0273159999999999</v>
      </c>
      <c r="G194" s="5">
        <v>0.35316199999999998</v>
      </c>
    </row>
    <row r="195" spans="1:7" ht="16">
      <c r="A195" s="2">
        <v>45588</v>
      </c>
      <c r="B195" s="5">
        <v>0.20619000000000001</v>
      </c>
      <c r="C195" s="4">
        <v>3973.2089000000001</v>
      </c>
      <c r="D195" s="4">
        <v>1.2361059999999999</v>
      </c>
      <c r="E195" s="4">
        <v>241.20079999999999</v>
      </c>
      <c r="F195" s="5">
        <v>1.02929</v>
      </c>
      <c r="G195" s="5">
        <v>0.35275400000000001</v>
      </c>
    </row>
    <row r="196" spans="1:7" ht="16">
      <c r="A196" s="2">
        <v>45589</v>
      </c>
      <c r="B196" s="5">
        <v>0.20504500000000001</v>
      </c>
      <c r="C196" s="4">
        <v>3928.8334</v>
      </c>
      <c r="D196" s="4">
        <v>1.2604580000000001</v>
      </c>
      <c r="E196" s="4">
        <v>241.2149</v>
      </c>
      <c r="F196" s="5">
        <v>1.0290589999999999</v>
      </c>
      <c r="G196" s="5">
        <v>0.35314699999999999</v>
      </c>
    </row>
    <row r="197" spans="1:7" ht="16">
      <c r="A197" s="2">
        <v>45590</v>
      </c>
      <c r="B197" s="5">
        <v>0.19853699999999999</v>
      </c>
      <c r="C197" s="4">
        <v>3956.4209999999998</v>
      </c>
      <c r="D197" s="4">
        <v>1.21418</v>
      </c>
      <c r="E197" s="4">
        <v>241.0994</v>
      </c>
      <c r="F197" s="5">
        <v>1.018553</v>
      </c>
      <c r="G197" s="5">
        <v>0.34456799999999999</v>
      </c>
    </row>
    <row r="198" spans="1:7" ht="16">
      <c r="A198" s="2">
        <v>45593</v>
      </c>
      <c r="B198" s="5">
        <v>0.19867899999999999</v>
      </c>
      <c r="C198" s="4">
        <v>3964.1569</v>
      </c>
      <c r="D198" s="4">
        <v>1.2276069999999999</v>
      </c>
      <c r="E198" s="4">
        <v>240.96619999999999</v>
      </c>
      <c r="F198" s="5">
        <v>1</v>
      </c>
      <c r="G198" s="5">
        <v>0.34429500000000002</v>
      </c>
    </row>
    <row r="199" spans="1:7" ht="16">
      <c r="A199" s="2">
        <v>45594</v>
      </c>
      <c r="B199" s="5">
        <v>0.197266</v>
      </c>
      <c r="C199" s="4">
        <v>3924.6489999999999</v>
      </c>
      <c r="D199" s="4">
        <v>1.25553</v>
      </c>
      <c r="E199" s="4">
        <v>241.0206</v>
      </c>
      <c r="F199" s="5">
        <v>1</v>
      </c>
      <c r="G199" s="5">
        <v>0.34483200000000003</v>
      </c>
    </row>
    <row r="200" spans="1:7" ht="16">
      <c r="A200" s="2">
        <v>45595</v>
      </c>
      <c r="B200" s="5">
        <v>0.19573499999999999</v>
      </c>
      <c r="C200" s="4">
        <v>3889.4486999999999</v>
      </c>
      <c r="D200" s="4">
        <v>1.278667</v>
      </c>
      <c r="E200" s="4">
        <v>241.05359999999999</v>
      </c>
      <c r="F200" s="5">
        <v>1</v>
      </c>
      <c r="G200" s="5">
        <v>0.34543299999999999</v>
      </c>
    </row>
    <row r="201" spans="1:7" ht="16">
      <c r="A201" s="2">
        <v>45596</v>
      </c>
      <c r="B201" s="5">
        <v>0.19534299999999999</v>
      </c>
      <c r="C201" s="4">
        <v>3891.0396000000001</v>
      </c>
      <c r="D201" s="4">
        <v>1.2532369999999999</v>
      </c>
      <c r="E201" s="4">
        <v>241.13570000000001</v>
      </c>
      <c r="F201" s="5">
        <v>1</v>
      </c>
      <c r="G201" s="5">
        <v>0.34611999999999998</v>
      </c>
    </row>
    <row r="202" spans="1:7" ht="16">
      <c r="A202" s="2">
        <v>45597</v>
      </c>
      <c r="B202" s="5">
        <v>0.19747700000000001</v>
      </c>
      <c r="C202" s="4">
        <v>3890.0203000000001</v>
      </c>
      <c r="D202" s="4">
        <v>1.249452</v>
      </c>
      <c r="E202" s="4">
        <v>241.37</v>
      </c>
      <c r="F202" s="5">
        <v>1.009144</v>
      </c>
      <c r="G202" s="5">
        <v>0.34515400000000002</v>
      </c>
    </row>
    <row r="203" spans="1:7" ht="16">
      <c r="A203" s="2">
        <v>45600</v>
      </c>
      <c r="B203" s="5">
        <v>0.19659699999999999</v>
      </c>
      <c r="C203" s="4">
        <v>3944.7619</v>
      </c>
      <c r="D203" s="4">
        <v>0.56032700000000002</v>
      </c>
      <c r="E203" s="4">
        <v>241.5241</v>
      </c>
      <c r="F203" s="5">
        <v>1.0023249999999999</v>
      </c>
      <c r="G203" s="5">
        <v>0.42253200000000002</v>
      </c>
    </row>
    <row r="204" spans="1:7" ht="16">
      <c r="A204" s="2">
        <v>45601</v>
      </c>
      <c r="B204" s="5">
        <v>0.20038600000000001</v>
      </c>
      <c r="C204" s="4">
        <v>4044.5725000000002</v>
      </c>
      <c r="D204" s="4">
        <v>0.55757900000000005</v>
      </c>
      <c r="E204" s="4">
        <v>241.6251</v>
      </c>
      <c r="F204" s="5">
        <v>1.002102</v>
      </c>
      <c r="G204" s="5">
        <v>0.42108600000000002</v>
      </c>
    </row>
    <row r="205" spans="1:7" ht="16">
      <c r="A205" s="2">
        <v>45602</v>
      </c>
      <c r="B205" s="5">
        <v>0.19939000000000001</v>
      </c>
      <c r="C205" s="4">
        <v>4024.2831000000001</v>
      </c>
      <c r="D205" s="4">
        <v>0.56175399999999998</v>
      </c>
      <c r="E205" s="4">
        <v>241.69990000000001</v>
      </c>
      <c r="F205" s="5">
        <v>1.002105</v>
      </c>
      <c r="G205" s="5">
        <v>0.421346</v>
      </c>
    </row>
    <row r="206" spans="1:7" ht="16">
      <c r="A206" s="2">
        <v>45603</v>
      </c>
      <c r="B206" s="5">
        <v>0.20266899999999999</v>
      </c>
      <c r="C206" s="4">
        <v>4145.6952000000001</v>
      </c>
      <c r="D206" s="4">
        <v>0.51230100000000001</v>
      </c>
      <c r="E206" s="4">
        <v>241.82089999999999</v>
      </c>
      <c r="F206" s="5">
        <v>1.0043880000000001</v>
      </c>
      <c r="G206" s="5">
        <v>0.41984199999999999</v>
      </c>
    </row>
    <row r="207" spans="1:7" ht="16">
      <c r="A207" s="2">
        <v>45604</v>
      </c>
      <c r="B207" s="5">
        <v>0.19955400000000001</v>
      </c>
      <c r="C207" s="4">
        <v>4104.0469999999996</v>
      </c>
      <c r="D207" s="4">
        <v>0.51395999999999997</v>
      </c>
      <c r="E207" s="4">
        <v>241.92420000000001</v>
      </c>
      <c r="F207" s="5">
        <v>1.004381</v>
      </c>
      <c r="G207" s="5">
        <v>0.41969800000000002</v>
      </c>
    </row>
    <row r="208" spans="1:7" ht="16">
      <c r="A208" s="2">
        <v>45607</v>
      </c>
      <c r="B208" s="5">
        <v>0.19760900000000001</v>
      </c>
      <c r="C208" s="4">
        <v>4131.1311999999998</v>
      </c>
      <c r="D208" s="4">
        <v>0.567685</v>
      </c>
      <c r="E208" s="4">
        <v>242.0386</v>
      </c>
      <c r="F208" s="5">
        <v>1.0084029999999999</v>
      </c>
      <c r="G208" s="5">
        <v>0.42005399999999998</v>
      </c>
    </row>
    <row r="209" spans="1:11" ht="16">
      <c r="A209" s="2">
        <v>45608</v>
      </c>
      <c r="B209" s="5">
        <v>0.195852</v>
      </c>
      <c r="C209" s="4">
        <v>4085.7429999999999</v>
      </c>
      <c r="D209" s="4">
        <v>0.59148299999999998</v>
      </c>
      <c r="E209" s="4">
        <v>242.20599999999999</v>
      </c>
      <c r="F209" s="5">
        <v>1.0083489999999999</v>
      </c>
      <c r="G209" s="5">
        <v>0.42136699999999999</v>
      </c>
    </row>
    <row r="210" spans="1:11" ht="16">
      <c r="A210" s="2">
        <v>45609</v>
      </c>
      <c r="B210" s="5">
        <v>0.19674900000000001</v>
      </c>
      <c r="C210" s="4">
        <v>4110.8900999999996</v>
      </c>
      <c r="D210" s="4">
        <v>0.58792800000000001</v>
      </c>
      <c r="E210" s="4">
        <v>242.2139</v>
      </c>
      <c r="F210" s="5">
        <v>1.009274</v>
      </c>
      <c r="G210" s="5">
        <v>0.42000799999999999</v>
      </c>
    </row>
    <row r="211" spans="1:11" ht="16">
      <c r="A211" s="2">
        <v>45610</v>
      </c>
      <c r="B211" s="5">
        <v>0.19438</v>
      </c>
      <c r="C211" s="4">
        <v>4039.6190999999999</v>
      </c>
      <c r="D211" s="4">
        <v>0.58873500000000001</v>
      </c>
      <c r="E211" s="4">
        <v>242.2045</v>
      </c>
      <c r="F211" s="5">
        <v>1.0099560000000001</v>
      </c>
      <c r="G211" s="5">
        <v>0.42099300000000001</v>
      </c>
    </row>
    <row r="212" spans="1:11" ht="16">
      <c r="A212" s="2">
        <v>45611</v>
      </c>
      <c r="B212" s="5">
        <v>0.19375300000000001</v>
      </c>
      <c r="C212" s="4">
        <v>3968.8308000000002</v>
      </c>
      <c r="D212" s="4">
        <v>0.58762000000000003</v>
      </c>
      <c r="E212" s="4">
        <v>242.20160000000001</v>
      </c>
      <c r="F212" s="5">
        <v>1.0076590000000001</v>
      </c>
      <c r="G212" s="5">
        <v>0.42120800000000003</v>
      </c>
    </row>
    <row r="213" spans="1:11" ht="16">
      <c r="A213" s="2">
        <v>45614</v>
      </c>
      <c r="B213" s="5">
        <v>0.19697799999999999</v>
      </c>
      <c r="C213" s="4">
        <v>3950.3806</v>
      </c>
      <c r="D213" s="4">
        <v>0.58664099999999997</v>
      </c>
      <c r="E213" s="4">
        <v>242.0421</v>
      </c>
      <c r="F213" s="5">
        <v>1.009792</v>
      </c>
      <c r="G213" s="5">
        <v>0.42120999999999997</v>
      </c>
    </row>
    <row r="214" spans="1:11" ht="16">
      <c r="A214" s="2">
        <v>45615</v>
      </c>
      <c r="B214" s="5">
        <v>0.199325</v>
      </c>
      <c r="C214" s="4">
        <v>3976.8912</v>
      </c>
      <c r="D214" s="4">
        <v>0.54118999999999995</v>
      </c>
      <c r="E214" s="4">
        <v>242.0772</v>
      </c>
      <c r="F214" s="5">
        <v>1.0106930000000001</v>
      </c>
      <c r="G214" s="5">
        <v>0.42072799999999999</v>
      </c>
    </row>
    <row r="215" spans="1:11" ht="16">
      <c r="A215" s="2">
        <v>45616</v>
      </c>
      <c r="B215" s="5">
        <v>0.20055899999999999</v>
      </c>
      <c r="C215" s="4">
        <v>3985.7727</v>
      </c>
      <c r="D215" s="4">
        <v>0.54178300000000001</v>
      </c>
      <c r="E215" s="4">
        <v>242.0761</v>
      </c>
      <c r="F215" s="5">
        <v>1.0108060000000001</v>
      </c>
      <c r="G215" s="5">
        <v>0.419964</v>
      </c>
    </row>
    <row r="216" spans="1:11" ht="16">
      <c r="A216" s="2">
        <v>45617</v>
      </c>
      <c r="B216" s="5">
        <v>0.20025699999999999</v>
      </c>
      <c r="C216" s="4">
        <v>3989.2979</v>
      </c>
      <c r="D216" s="4">
        <v>0.54342000000000001</v>
      </c>
      <c r="E216" s="4">
        <v>242.20269999999999</v>
      </c>
      <c r="F216" s="5">
        <v>1.0100309999999999</v>
      </c>
      <c r="G216" s="5">
        <v>0.41984199999999999</v>
      </c>
      <c r="K216" s="14"/>
    </row>
    <row r="217" spans="1:11" ht="16">
      <c r="A217" s="2">
        <v>45618</v>
      </c>
      <c r="B217" s="5">
        <v>0.19653999999999999</v>
      </c>
      <c r="C217" s="4">
        <v>3865.6988999999999</v>
      </c>
      <c r="D217" s="4">
        <v>0.589669</v>
      </c>
      <c r="E217" s="4">
        <v>242.29570000000001</v>
      </c>
      <c r="F217" s="5">
        <v>1.0290360000000001</v>
      </c>
      <c r="G217" s="5">
        <v>0.42178700000000002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8884-CE2A-4BF3-A8EB-0507265FE627}">
  <sheetPr codeName="Sheet2"/>
  <dimension ref="A1:H217"/>
  <sheetViews>
    <sheetView workbookViewId="0">
      <selection activeCell="F6" sqref="F6"/>
    </sheetView>
  </sheetViews>
  <sheetFormatPr baseColWidth="10" defaultColWidth="8.83203125" defaultRowHeight="15"/>
  <cols>
    <col min="1" max="1" width="12.1640625" bestFit="1" customWidth="1"/>
    <col min="2" max="2" width="14.83203125" bestFit="1" customWidth="1"/>
    <col min="3" max="3" width="20.33203125" bestFit="1" customWidth="1"/>
    <col min="4" max="4" width="20" customWidth="1"/>
  </cols>
  <sheetData>
    <row r="1" spans="1:4" ht="17">
      <c r="A1" s="1" t="s">
        <v>3</v>
      </c>
      <c r="B1" s="1" t="s">
        <v>103</v>
      </c>
      <c r="C1" s="1" t="s">
        <v>104</v>
      </c>
      <c r="D1" s="1" t="s">
        <v>116</v>
      </c>
    </row>
    <row r="2" spans="1:4" ht="16">
      <c r="A2" s="2">
        <v>45289</v>
      </c>
      <c r="B2" s="5">
        <v>0.109708</v>
      </c>
      <c r="C2" s="32">
        <v>0.32912399999999997</v>
      </c>
      <c r="D2" s="32">
        <f>1-B2-C2</f>
        <v>0.561168</v>
      </c>
    </row>
    <row r="3" spans="1:4" ht="16">
      <c r="A3" s="2">
        <v>45293</v>
      </c>
      <c r="B3" s="5">
        <v>0.11035399999999999</v>
      </c>
      <c r="C3" s="32">
        <v>0.33106199999999997</v>
      </c>
      <c r="D3" s="32">
        <f t="shared" ref="D3:D66" si="0">1-B3-C3</f>
        <v>0.55858400000000008</v>
      </c>
    </row>
    <row r="4" spans="1:4" ht="16">
      <c r="A4" s="2">
        <v>45294</v>
      </c>
      <c r="B4" s="5">
        <v>0.111734</v>
      </c>
      <c r="C4" s="32">
        <v>0.335202</v>
      </c>
      <c r="D4" s="32">
        <f t="shared" si="0"/>
        <v>0.553064</v>
      </c>
    </row>
    <row r="5" spans="1:4" ht="16">
      <c r="A5" s="2">
        <v>45295</v>
      </c>
      <c r="B5" s="5">
        <v>0.11276700000000001</v>
      </c>
      <c r="C5" s="32">
        <v>0.33830100000000002</v>
      </c>
      <c r="D5" s="32">
        <f t="shared" si="0"/>
        <v>0.54893199999999998</v>
      </c>
    </row>
    <row r="6" spans="1:4" ht="16">
      <c r="A6" s="2">
        <v>45296</v>
      </c>
      <c r="B6" s="5">
        <v>0.11486200000000001</v>
      </c>
      <c r="C6" s="32">
        <v>0.344586</v>
      </c>
      <c r="D6" s="32">
        <f t="shared" si="0"/>
        <v>0.54055199999999992</v>
      </c>
    </row>
    <row r="7" spans="1:4" ht="16">
      <c r="A7" s="2">
        <v>45299</v>
      </c>
      <c r="B7" s="5">
        <v>0.11003499999999999</v>
      </c>
      <c r="C7" s="32">
        <v>0.33010499999999998</v>
      </c>
      <c r="D7" s="32">
        <f t="shared" si="0"/>
        <v>0.55986000000000002</v>
      </c>
    </row>
    <row r="8" spans="1:4" ht="16">
      <c r="A8" s="2">
        <v>45300</v>
      </c>
      <c r="B8" s="5">
        <v>0.115749</v>
      </c>
      <c r="C8" s="32">
        <v>0.34724700000000003</v>
      </c>
      <c r="D8" s="32">
        <f t="shared" si="0"/>
        <v>0.53700400000000004</v>
      </c>
    </row>
    <row r="9" spans="1:4" ht="16">
      <c r="A9" s="2">
        <v>45301</v>
      </c>
      <c r="B9" s="5">
        <v>0.114744</v>
      </c>
      <c r="C9" s="32">
        <v>0.34423199999999998</v>
      </c>
      <c r="D9" s="32">
        <f t="shared" si="0"/>
        <v>0.54102400000000006</v>
      </c>
    </row>
    <row r="10" spans="1:4" ht="16">
      <c r="A10" s="2">
        <v>45302</v>
      </c>
      <c r="B10" s="5">
        <v>0.114895</v>
      </c>
      <c r="C10" s="32">
        <v>0.34468500000000002</v>
      </c>
      <c r="D10" s="32">
        <f t="shared" si="0"/>
        <v>0.54042000000000001</v>
      </c>
    </row>
    <row r="11" spans="1:4" ht="16">
      <c r="A11" s="2">
        <v>45303</v>
      </c>
      <c r="B11" s="5">
        <v>0.115533</v>
      </c>
      <c r="C11" s="32">
        <v>0.34659899999999999</v>
      </c>
      <c r="D11" s="32">
        <f t="shared" si="0"/>
        <v>0.53786800000000001</v>
      </c>
    </row>
    <row r="12" spans="1:4" ht="16">
      <c r="A12" s="2">
        <v>45306</v>
      </c>
      <c r="B12" s="5">
        <v>0.11586399999999999</v>
      </c>
      <c r="C12" s="32">
        <v>0.34759200000000001</v>
      </c>
      <c r="D12" s="32">
        <f t="shared" si="0"/>
        <v>0.53654400000000002</v>
      </c>
    </row>
    <row r="13" spans="1:4" ht="16">
      <c r="A13" s="2">
        <v>45307</v>
      </c>
      <c r="B13" s="5">
        <v>0.11617</v>
      </c>
      <c r="C13" s="32">
        <v>0.34850999999999999</v>
      </c>
      <c r="D13" s="32">
        <f t="shared" si="0"/>
        <v>0.53532000000000002</v>
      </c>
    </row>
    <row r="14" spans="1:4" ht="16">
      <c r="A14" s="2">
        <v>45308</v>
      </c>
      <c r="B14" s="5">
        <v>0.11522399999999999</v>
      </c>
      <c r="C14" s="32">
        <v>0.34567199999999998</v>
      </c>
      <c r="D14" s="32">
        <f t="shared" si="0"/>
        <v>0.53910400000000003</v>
      </c>
    </row>
    <row r="15" spans="1:4" ht="16">
      <c r="A15" s="2">
        <v>45309</v>
      </c>
      <c r="B15" s="5">
        <v>0.114343</v>
      </c>
      <c r="C15" s="32">
        <v>0.34302900000000003</v>
      </c>
      <c r="D15" s="32">
        <f t="shared" si="0"/>
        <v>0.542628</v>
      </c>
    </row>
    <row r="16" spans="1:4" ht="16">
      <c r="A16" s="2">
        <v>45310</v>
      </c>
      <c r="B16" s="5">
        <v>0.11677700000000001</v>
      </c>
      <c r="C16" s="32">
        <v>0.350331</v>
      </c>
      <c r="D16" s="32">
        <f t="shared" si="0"/>
        <v>0.53289199999999992</v>
      </c>
    </row>
    <row r="17" spans="1:4" ht="16">
      <c r="A17" s="2">
        <v>45313</v>
      </c>
      <c r="B17" s="5">
        <v>0.11083999999999999</v>
      </c>
      <c r="C17" s="32">
        <v>0.33251999999999998</v>
      </c>
      <c r="D17" s="32">
        <f t="shared" si="0"/>
        <v>0.55664000000000002</v>
      </c>
    </row>
    <row r="18" spans="1:4" ht="16">
      <c r="A18" s="2">
        <v>45314</v>
      </c>
      <c r="B18" s="5">
        <v>0.111501</v>
      </c>
      <c r="C18" s="32">
        <v>0.33450299999999999</v>
      </c>
      <c r="D18" s="32">
        <f t="shared" si="0"/>
        <v>0.55399600000000004</v>
      </c>
    </row>
    <row r="19" spans="1:4" ht="16">
      <c r="A19" s="2">
        <v>45315</v>
      </c>
      <c r="B19" s="5">
        <v>0.116729</v>
      </c>
      <c r="C19" s="32">
        <v>0.35018700000000003</v>
      </c>
      <c r="D19" s="32">
        <f t="shared" si="0"/>
        <v>0.533084</v>
      </c>
    </row>
    <row r="20" spans="1:4" ht="16">
      <c r="A20" s="2">
        <v>45316</v>
      </c>
      <c r="B20" s="5">
        <v>0.120659</v>
      </c>
      <c r="C20" s="32">
        <v>0.36197699999999999</v>
      </c>
      <c r="D20" s="32">
        <f t="shared" si="0"/>
        <v>0.51736400000000005</v>
      </c>
    </row>
    <row r="21" spans="1:4" ht="16">
      <c r="A21" s="2">
        <v>45317</v>
      </c>
      <c r="B21" s="5">
        <v>0.122753</v>
      </c>
      <c r="C21" s="32">
        <v>0.368259</v>
      </c>
      <c r="D21" s="32">
        <f t="shared" si="0"/>
        <v>0.508988</v>
      </c>
    </row>
    <row r="22" spans="1:4" ht="16">
      <c r="A22" s="2">
        <v>45320</v>
      </c>
      <c r="B22" s="5">
        <v>0.12300800000000001</v>
      </c>
      <c r="C22" s="32">
        <v>0.36902400000000002</v>
      </c>
      <c r="D22" s="32">
        <f t="shared" si="0"/>
        <v>0.50796799999999998</v>
      </c>
    </row>
    <row r="23" spans="1:4" ht="16">
      <c r="A23" s="2">
        <v>45321</v>
      </c>
      <c r="B23" s="5">
        <v>0.121492</v>
      </c>
      <c r="C23" s="32">
        <v>0.36447600000000002</v>
      </c>
      <c r="D23" s="32">
        <f t="shared" si="0"/>
        <v>0.51403199999999993</v>
      </c>
    </row>
    <row r="24" spans="1:4" ht="16">
      <c r="A24" s="2">
        <v>45322</v>
      </c>
      <c r="B24" s="5">
        <v>0.121778</v>
      </c>
      <c r="C24" s="32">
        <v>0.36533399999999999</v>
      </c>
      <c r="D24" s="32">
        <f t="shared" si="0"/>
        <v>0.51288800000000001</v>
      </c>
    </row>
    <row r="25" spans="1:4" ht="16">
      <c r="A25" s="2">
        <v>45323</v>
      </c>
      <c r="B25" s="5">
        <v>0.12114800000000001</v>
      </c>
      <c r="C25" s="32">
        <v>0.36344399999999999</v>
      </c>
      <c r="D25" s="32">
        <f t="shared" si="0"/>
        <v>0.51540799999999998</v>
      </c>
    </row>
    <row r="26" spans="1:4" ht="16">
      <c r="A26" s="2">
        <v>45324</v>
      </c>
      <c r="B26" s="5">
        <v>0.121338</v>
      </c>
      <c r="C26" s="32">
        <v>0.364014</v>
      </c>
      <c r="D26" s="32">
        <f t="shared" si="0"/>
        <v>0.51464799999999999</v>
      </c>
    </row>
    <row r="27" spans="1:4" ht="16">
      <c r="A27" s="2">
        <v>45327</v>
      </c>
      <c r="B27" s="5">
        <v>0.122099</v>
      </c>
      <c r="C27" s="32">
        <v>0.36629699999999998</v>
      </c>
      <c r="D27" s="32">
        <f t="shared" si="0"/>
        <v>0.51160400000000006</v>
      </c>
    </row>
    <row r="28" spans="1:4" ht="16">
      <c r="A28" s="2">
        <v>45328</v>
      </c>
      <c r="B28" s="5">
        <v>9.3340999999999993E-2</v>
      </c>
      <c r="C28" s="32">
        <v>0.28002299999999997</v>
      </c>
      <c r="D28" s="32">
        <f t="shared" si="0"/>
        <v>0.62663599999999997</v>
      </c>
    </row>
    <row r="29" spans="1:4" ht="16">
      <c r="A29" s="2">
        <v>45329</v>
      </c>
      <c r="B29" s="5">
        <v>5.9898E-2</v>
      </c>
      <c r="C29" s="32">
        <v>0.17969399999999999</v>
      </c>
      <c r="D29" s="32">
        <f t="shared" si="0"/>
        <v>0.76040799999999997</v>
      </c>
    </row>
    <row r="30" spans="1:4" ht="16">
      <c r="A30" s="2">
        <v>45330</v>
      </c>
      <c r="B30" s="5">
        <v>5.9150000000000001E-2</v>
      </c>
      <c r="C30" s="32">
        <v>0.17745</v>
      </c>
      <c r="D30" s="32">
        <f t="shared" si="0"/>
        <v>0.76339999999999997</v>
      </c>
    </row>
    <row r="31" spans="1:4" ht="16">
      <c r="A31" s="2">
        <v>45341</v>
      </c>
      <c r="B31" s="5">
        <v>6.0401000000000003E-2</v>
      </c>
      <c r="C31" s="32">
        <v>0.181203</v>
      </c>
      <c r="D31" s="32">
        <f t="shared" si="0"/>
        <v>0.75839599999999996</v>
      </c>
    </row>
    <row r="32" spans="1:4" ht="16">
      <c r="A32" s="2">
        <v>45342</v>
      </c>
      <c r="B32" s="5">
        <v>6.0398E-2</v>
      </c>
      <c r="C32" s="32">
        <v>0.18119399999999999</v>
      </c>
      <c r="D32" s="32">
        <f t="shared" si="0"/>
        <v>0.75840800000000008</v>
      </c>
    </row>
    <row r="33" spans="1:4" ht="16">
      <c r="A33" s="2">
        <v>45343</v>
      </c>
      <c r="B33" s="5">
        <v>6.8353999999999998E-2</v>
      </c>
      <c r="C33" s="32">
        <v>0.20506199999999999</v>
      </c>
      <c r="D33" s="32">
        <f t="shared" si="0"/>
        <v>0.72658400000000001</v>
      </c>
    </row>
    <row r="34" spans="1:4" ht="16">
      <c r="A34" s="2">
        <v>45344</v>
      </c>
      <c r="B34" s="5">
        <v>6.9181999999999994E-2</v>
      </c>
      <c r="C34" s="32">
        <v>0.20754599999999998</v>
      </c>
      <c r="D34" s="32">
        <f t="shared" si="0"/>
        <v>0.72327200000000003</v>
      </c>
    </row>
    <row r="35" spans="1:4" ht="16">
      <c r="A35" s="2">
        <v>45345</v>
      </c>
      <c r="B35" s="5">
        <v>6.9608000000000003E-2</v>
      </c>
      <c r="C35" s="32">
        <v>0.20882400000000001</v>
      </c>
      <c r="D35" s="32">
        <f t="shared" si="0"/>
        <v>0.72156799999999999</v>
      </c>
    </row>
    <row r="36" spans="1:4" ht="16">
      <c r="A36" s="2">
        <v>45348</v>
      </c>
      <c r="B36" s="5">
        <v>6.7333000000000004E-2</v>
      </c>
      <c r="C36" s="32">
        <v>0.20199900000000001</v>
      </c>
      <c r="D36" s="32">
        <f t="shared" si="0"/>
        <v>0.73066799999999998</v>
      </c>
    </row>
    <row r="37" spans="1:4" ht="16">
      <c r="A37" s="2">
        <v>45349</v>
      </c>
      <c r="B37" s="5">
        <v>6.7517999999999995E-2</v>
      </c>
      <c r="C37" s="32">
        <v>0.20255399999999998</v>
      </c>
      <c r="D37" s="32">
        <f t="shared" si="0"/>
        <v>0.72992800000000002</v>
      </c>
    </row>
    <row r="38" spans="1:4" ht="16">
      <c r="A38" s="2">
        <v>45350</v>
      </c>
      <c r="B38" s="5">
        <v>6.6833000000000004E-2</v>
      </c>
      <c r="C38" s="32">
        <v>0.20049900000000001</v>
      </c>
      <c r="D38" s="32">
        <f t="shared" si="0"/>
        <v>0.73266799999999999</v>
      </c>
    </row>
    <row r="39" spans="1:4" ht="16">
      <c r="A39" s="2">
        <v>45351</v>
      </c>
      <c r="B39" s="5">
        <v>6.7483000000000001E-2</v>
      </c>
      <c r="C39" s="32">
        <v>0.20244899999999999</v>
      </c>
      <c r="D39" s="32">
        <f t="shared" si="0"/>
        <v>0.73006800000000005</v>
      </c>
    </row>
    <row r="40" spans="1:4" ht="16">
      <c r="A40" s="2">
        <v>45352</v>
      </c>
      <c r="B40" s="5">
        <v>6.7303000000000002E-2</v>
      </c>
      <c r="C40" s="32">
        <v>0.20190900000000001</v>
      </c>
      <c r="D40" s="32">
        <f t="shared" si="0"/>
        <v>0.73078799999999999</v>
      </c>
    </row>
    <row r="41" spans="1:4" ht="16">
      <c r="A41" s="2">
        <v>45355</v>
      </c>
      <c r="B41" s="5">
        <v>6.7933999999999994E-2</v>
      </c>
      <c r="C41" s="32">
        <v>0.20380199999999998</v>
      </c>
      <c r="D41" s="32">
        <f t="shared" si="0"/>
        <v>0.72826400000000002</v>
      </c>
    </row>
    <row r="42" spans="1:4" ht="16">
      <c r="A42" s="2">
        <v>45356</v>
      </c>
      <c r="B42" s="5">
        <v>6.8475999999999995E-2</v>
      </c>
      <c r="C42" s="32">
        <v>0.205428</v>
      </c>
      <c r="D42" s="32">
        <f t="shared" si="0"/>
        <v>0.72609600000000007</v>
      </c>
    </row>
    <row r="43" spans="1:4" ht="16">
      <c r="A43" s="2">
        <v>45357</v>
      </c>
      <c r="B43" s="5">
        <v>6.8530999999999995E-2</v>
      </c>
      <c r="C43" s="32">
        <v>0.20559299999999997</v>
      </c>
      <c r="D43" s="32">
        <f t="shared" si="0"/>
        <v>0.72587599999999997</v>
      </c>
    </row>
    <row r="44" spans="1:4" ht="16">
      <c r="A44" s="2">
        <v>45358</v>
      </c>
      <c r="B44" s="5">
        <v>6.9184999999999997E-2</v>
      </c>
      <c r="C44" s="32">
        <v>0.20755499999999999</v>
      </c>
      <c r="D44" s="32">
        <f t="shared" si="0"/>
        <v>0.72326000000000001</v>
      </c>
    </row>
    <row r="45" spans="1:4" ht="16">
      <c r="A45" s="2">
        <v>45359</v>
      </c>
      <c r="B45" s="5">
        <v>7.2026999999999994E-2</v>
      </c>
      <c r="C45" s="32">
        <v>0.21608099999999997</v>
      </c>
      <c r="D45" s="32">
        <f t="shared" si="0"/>
        <v>0.71189200000000008</v>
      </c>
    </row>
    <row r="46" spans="1:4" ht="16">
      <c r="A46" s="2">
        <v>45362</v>
      </c>
      <c r="B46" s="5">
        <v>7.1584999999999996E-2</v>
      </c>
      <c r="C46" s="32">
        <v>0.21475499999999997</v>
      </c>
      <c r="D46" s="32">
        <f t="shared" si="0"/>
        <v>0.71365999999999996</v>
      </c>
    </row>
    <row r="47" spans="1:4" ht="16">
      <c r="A47" s="2">
        <v>45363</v>
      </c>
      <c r="B47" s="5">
        <v>7.0446999999999996E-2</v>
      </c>
      <c r="C47" s="32">
        <v>0.211341</v>
      </c>
      <c r="D47" s="32">
        <f t="shared" si="0"/>
        <v>0.71821199999999996</v>
      </c>
    </row>
    <row r="48" spans="1:4" ht="16">
      <c r="A48" s="2">
        <v>45364</v>
      </c>
      <c r="B48" s="5">
        <v>7.0354E-2</v>
      </c>
      <c r="C48" s="32">
        <v>0.211062</v>
      </c>
      <c r="D48" s="32">
        <f t="shared" si="0"/>
        <v>0.718584</v>
      </c>
    </row>
    <row r="49" spans="1:4" ht="16">
      <c r="A49" s="2">
        <v>45365</v>
      </c>
      <c r="B49" s="5">
        <v>6.9373000000000004E-2</v>
      </c>
      <c r="C49" s="32">
        <v>0.208119</v>
      </c>
      <c r="D49" s="32">
        <f t="shared" si="0"/>
        <v>0.72250799999999993</v>
      </c>
    </row>
    <row r="50" spans="1:4" ht="16">
      <c r="A50" s="2">
        <v>45366</v>
      </c>
      <c r="B50" s="5">
        <v>7.0013000000000006E-2</v>
      </c>
      <c r="C50" s="32">
        <v>0.21003900000000003</v>
      </c>
      <c r="D50" s="32">
        <f t="shared" si="0"/>
        <v>0.71994800000000003</v>
      </c>
    </row>
    <row r="51" spans="1:4" ht="16">
      <c r="A51" s="2">
        <v>45369</v>
      </c>
      <c r="B51" s="5">
        <v>6.9592000000000001E-2</v>
      </c>
      <c r="C51" s="32">
        <v>0.20877600000000002</v>
      </c>
      <c r="D51" s="32">
        <f t="shared" si="0"/>
        <v>0.72163200000000005</v>
      </c>
    </row>
    <row r="52" spans="1:4" ht="16">
      <c r="A52" s="2">
        <v>45370</v>
      </c>
      <c r="B52" s="5">
        <v>6.9246000000000002E-2</v>
      </c>
      <c r="C52" s="32">
        <v>0.20773800000000001</v>
      </c>
      <c r="D52" s="32">
        <f t="shared" si="0"/>
        <v>0.72301599999999999</v>
      </c>
    </row>
    <row r="53" spans="1:4" ht="16">
      <c r="A53" s="2">
        <v>45371</v>
      </c>
      <c r="B53" s="5">
        <v>7.0044999999999996E-2</v>
      </c>
      <c r="C53" s="32">
        <v>0.21013499999999999</v>
      </c>
      <c r="D53" s="32">
        <f t="shared" si="0"/>
        <v>0.71982000000000002</v>
      </c>
    </row>
    <row r="54" spans="1:4" ht="16">
      <c r="A54" s="2">
        <v>45372</v>
      </c>
      <c r="B54" s="5">
        <v>7.0017999999999997E-2</v>
      </c>
      <c r="C54" s="32">
        <v>0.21005399999999999</v>
      </c>
      <c r="D54" s="32">
        <f t="shared" si="0"/>
        <v>0.71992800000000001</v>
      </c>
    </row>
    <row r="55" spans="1:4" ht="16">
      <c r="A55" s="2">
        <v>45373</v>
      </c>
      <c r="B55" s="5">
        <v>6.9504999999999997E-2</v>
      </c>
      <c r="C55" s="32">
        <v>0.20851500000000001</v>
      </c>
      <c r="D55" s="32">
        <f t="shared" si="0"/>
        <v>0.72197999999999996</v>
      </c>
    </row>
    <row r="56" spans="1:4" ht="16">
      <c r="A56" s="2">
        <v>45376</v>
      </c>
      <c r="B56" s="5">
        <v>6.9776000000000005E-2</v>
      </c>
      <c r="C56" s="32">
        <v>0.20932800000000001</v>
      </c>
      <c r="D56" s="32">
        <f t="shared" si="0"/>
        <v>0.72089599999999998</v>
      </c>
    </row>
    <row r="57" spans="1:4" ht="16">
      <c r="A57" s="2">
        <v>45377</v>
      </c>
      <c r="B57" s="5">
        <v>7.0078000000000001E-2</v>
      </c>
      <c r="C57" s="32">
        <v>0.210234</v>
      </c>
      <c r="D57" s="32">
        <f t="shared" si="0"/>
        <v>0.71968799999999999</v>
      </c>
    </row>
    <row r="58" spans="1:4" ht="16">
      <c r="A58" s="2">
        <v>45378</v>
      </c>
      <c r="B58" s="5">
        <v>7.0657999999999999E-2</v>
      </c>
      <c r="C58" s="32">
        <v>0.211974</v>
      </c>
      <c r="D58" s="32">
        <f t="shared" si="0"/>
        <v>0.71736800000000001</v>
      </c>
    </row>
    <row r="59" spans="1:4" ht="16">
      <c r="A59" s="2">
        <v>45379</v>
      </c>
      <c r="B59" s="5">
        <v>6.9906999999999997E-2</v>
      </c>
      <c r="C59" s="32">
        <v>0.20972099999999999</v>
      </c>
      <c r="D59" s="32">
        <f t="shared" si="0"/>
        <v>0.72037200000000001</v>
      </c>
    </row>
    <row r="60" spans="1:4" ht="16">
      <c r="A60" s="2">
        <v>45380</v>
      </c>
      <c r="B60" s="5">
        <v>7.1123000000000006E-2</v>
      </c>
      <c r="C60" s="32">
        <v>0.21336900000000003</v>
      </c>
      <c r="D60" s="32">
        <f t="shared" si="0"/>
        <v>0.71550799999999992</v>
      </c>
    </row>
    <row r="61" spans="1:4" ht="16">
      <c r="A61" s="2">
        <v>45383</v>
      </c>
      <c r="B61" s="5">
        <v>7.1006E-2</v>
      </c>
      <c r="C61" s="32">
        <v>0.21301799999999999</v>
      </c>
      <c r="D61" s="32">
        <f t="shared" si="0"/>
        <v>0.71597599999999995</v>
      </c>
    </row>
    <row r="62" spans="1:4" ht="16">
      <c r="A62" s="2">
        <v>45384</v>
      </c>
      <c r="B62" s="5">
        <v>7.0812E-2</v>
      </c>
      <c r="C62" s="32">
        <v>0.21243600000000001</v>
      </c>
      <c r="D62" s="32">
        <f t="shared" si="0"/>
        <v>0.71675200000000006</v>
      </c>
    </row>
    <row r="63" spans="1:4" ht="16">
      <c r="A63" s="2">
        <v>45385</v>
      </c>
      <c r="B63" s="5">
        <v>7.0557999999999996E-2</v>
      </c>
      <c r="C63" s="32">
        <v>0.21167399999999997</v>
      </c>
      <c r="D63" s="32">
        <f t="shared" si="0"/>
        <v>0.71776799999999996</v>
      </c>
    </row>
    <row r="64" spans="1:4" ht="16">
      <c r="A64" s="2">
        <v>45390</v>
      </c>
      <c r="B64" s="5">
        <v>6.8694000000000005E-2</v>
      </c>
      <c r="C64" s="32">
        <v>0.20608200000000002</v>
      </c>
      <c r="D64" s="32">
        <f t="shared" si="0"/>
        <v>0.72522399999999998</v>
      </c>
    </row>
    <row r="65" spans="1:4" ht="16">
      <c r="A65" s="2">
        <v>45391</v>
      </c>
      <c r="B65" s="5">
        <v>6.8292000000000005E-2</v>
      </c>
      <c r="C65" s="32">
        <v>0.204876</v>
      </c>
      <c r="D65" s="32">
        <f t="shared" si="0"/>
        <v>0.72683199999999992</v>
      </c>
    </row>
    <row r="66" spans="1:4" ht="16">
      <c r="A66" s="2">
        <v>45392</v>
      </c>
      <c r="B66" s="5">
        <v>6.8364999999999995E-2</v>
      </c>
      <c r="C66" s="32">
        <v>0.20509499999999997</v>
      </c>
      <c r="D66" s="32">
        <f t="shared" si="0"/>
        <v>0.72653999999999996</v>
      </c>
    </row>
    <row r="67" spans="1:4" ht="16">
      <c r="A67" s="2">
        <v>45393</v>
      </c>
      <c r="B67" s="5">
        <v>6.8886000000000003E-2</v>
      </c>
      <c r="C67" s="32">
        <v>0.20665800000000001</v>
      </c>
      <c r="D67" s="32">
        <f t="shared" ref="D67:D130" si="1">1-B67-C67</f>
        <v>0.72445599999999999</v>
      </c>
    </row>
    <row r="68" spans="1:4" ht="16">
      <c r="A68" s="2">
        <v>45394</v>
      </c>
      <c r="B68" s="5">
        <v>6.8631999999999999E-2</v>
      </c>
      <c r="C68" s="32">
        <v>0.205896</v>
      </c>
      <c r="D68" s="32">
        <f t="shared" si="1"/>
        <v>0.72547200000000001</v>
      </c>
    </row>
    <row r="69" spans="1:4" ht="16">
      <c r="A69" s="2">
        <v>45397</v>
      </c>
      <c r="B69" s="5">
        <v>7.6096999999999998E-2</v>
      </c>
      <c r="C69" s="32">
        <v>0.22829099999999999</v>
      </c>
      <c r="D69" s="32">
        <f t="shared" si="1"/>
        <v>0.69561200000000001</v>
      </c>
    </row>
    <row r="70" spans="1:4" ht="16">
      <c r="A70" s="2">
        <v>45398</v>
      </c>
      <c r="B70" s="5">
        <v>6.9334999999999994E-2</v>
      </c>
      <c r="C70" s="32">
        <v>0.208005</v>
      </c>
      <c r="D70" s="32">
        <f t="shared" si="1"/>
        <v>0.72265999999999997</v>
      </c>
    </row>
    <row r="71" spans="1:4" ht="16">
      <c r="A71" s="2">
        <v>45399</v>
      </c>
      <c r="B71" s="5">
        <v>7.7066999999999997E-2</v>
      </c>
      <c r="C71" s="32">
        <v>0.23120099999999999</v>
      </c>
      <c r="D71" s="32">
        <f t="shared" si="1"/>
        <v>0.69173200000000001</v>
      </c>
    </row>
    <row r="72" spans="1:4" ht="16">
      <c r="A72" s="2">
        <v>45400</v>
      </c>
      <c r="B72" s="5">
        <v>7.7078999999999995E-2</v>
      </c>
      <c r="C72" s="32">
        <v>0.23123699999999997</v>
      </c>
      <c r="D72" s="32">
        <f t="shared" si="1"/>
        <v>0.69168399999999997</v>
      </c>
    </row>
    <row r="73" spans="1:4" ht="16">
      <c r="A73" s="2">
        <v>45401</v>
      </c>
      <c r="B73" s="5">
        <v>7.8058000000000002E-2</v>
      </c>
      <c r="C73" s="32">
        <v>0.23417399999999999</v>
      </c>
      <c r="D73" s="32">
        <f t="shared" si="1"/>
        <v>0.68776800000000005</v>
      </c>
    </row>
    <row r="74" spans="1:4" ht="16">
      <c r="A74" s="2">
        <v>45404</v>
      </c>
      <c r="B74" s="5">
        <v>7.6078999999999994E-2</v>
      </c>
      <c r="C74" s="32">
        <v>0.22823699999999997</v>
      </c>
      <c r="D74" s="32">
        <f t="shared" si="1"/>
        <v>0.69568399999999997</v>
      </c>
    </row>
    <row r="75" spans="1:4" ht="16">
      <c r="A75" s="2">
        <v>45405</v>
      </c>
      <c r="B75" s="5">
        <v>7.4795E-2</v>
      </c>
      <c r="C75" s="32">
        <v>0.224385</v>
      </c>
      <c r="D75" s="32">
        <f t="shared" si="1"/>
        <v>0.70082</v>
      </c>
    </row>
    <row r="76" spans="1:4" ht="16">
      <c r="A76" s="2">
        <v>45406</v>
      </c>
      <c r="B76" s="5">
        <v>8.6352999999999999E-2</v>
      </c>
      <c r="C76" s="32">
        <v>0.25905899999999998</v>
      </c>
      <c r="D76" s="32">
        <f t="shared" si="1"/>
        <v>0.65458799999999995</v>
      </c>
    </row>
    <row r="77" spans="1:4" ht="16">
      <c r="A77" s="2">
        <v>45407</v>
      </c>
      <c r="B77" s="5">
        <v>9.5771999999999996E-2</v>
      </c>
      <c r="C77" s="32">
        <v>0.28731600000000002</v>
      </c>
      <c r="D77" s="32">
        <f t="shared" si="1"/>
        <v>0.61691200000000002</v>
      </c>
    </row>
    <row r="78" spans="1:4" ht="16">
      <c r="A78" s="2">
        <v>45408</v>
      </c>
      <c r="B78" s="5">
        <v>8.8081000000000007E-2</v>
      </c>
      <c r="C78" s="32">
        <v>0.26424300000000001</v>
      </c>
      <c r="D78" s="32">
        <f t="shared" si="1"/>
        <v>0.64767600000000003</v>
      </c>
    </row>
    <row r="79" spans="1:4" ht="16">
      <c r="A79" s="2">
        <v>45411</v>
      </c>
      <c r="B79" s="5">
        <v>8.9562000000000003E-2</v>
      </c>
      <c r="C79" s="32">
        <v>0.26868599999999998</v>
      </c>
      <c r="D79" s="32">
        <f t="shared" si="1"/>
        <v>0.64175199999999999</v>
      </c>
    </row>
    <row r="80" spans="1:4" ht="16">
      <c r="A80" s="2">
        <v>45412</v>
      </c>
      <c r="B80" s="5">
        <v>9.0823000000000001E-2</v>
      </c>
      <c r="C80" s="32">
        <v>0.27246900000000002</v>
      </c>
      <c r="D80" s="32">
        <f t="shared" si="1"/>
        <v>0.63670800000000005</v>
      </c>
    </row>
    <row r="81" spans="1:4" ht="16">
      <c r="A81" s="2">
        <v>45418</v>
      </c>
      <c r="B81" s="5">
        <v>9.0576000000000004E-2</v>
      </c>
      <c r="C81" s="32">
        <v>0.27172800000000003</v>
      </c>
      <c r="D81" s="32">
        <f t="shared" si="1"/>
        <v>0.63769600000000004</v>
      </c>
    </row>
    <row r="82" spans="1:4" ht="16">
      <c r="A82" s="2">
        <v>45419</v>
      </c>
      <c r="B82" s="5">
        <v>9.1009000000000007E-2</v>
      </c>
      <c r="C82" s="32">
        <v>0.27302700000000002</v>
      </c>
      <c r="D82" s="32">
        <f t="shared" si="1"/>
        <v>0.63596399999999997</v>
      </c>
    </row>
    <row r="83" spans="1:4" ht="16">
      <c r="A83" s="2">
        <v>45420</v>
      </c>
      <c r="B83" s="5">
        <v>9.1906000000000002E-2</v>
      </c>
      <c r="C83" s="32">
        <v>0.27571800000000002</v>
      </c>
      <c r="D83" s="32">
        <f t="shared" si="1"/>
        <v>0.63237599999999994</v>
      </c>
    </row>
    <row r="84" spans="1:4" ht="16">
      <c r="A84" s="2">
        <v>45421</v>
      </c>
      <c r="B84" s="5">
        <v>9.2649999999999996E-2</v>
      </c>
      <c r="C84" s="32">
        <v>0.27794999999999997</v>
      </c>
      <c r="D84" s="32">
        <f t="shared" si="1"/>
        <v>0.62939999999999996</v>
      </c>
    </row>
    <row r="85" spans="1:4" ht="16">
      <c r="A85" s="2">
        <v>45422</v>
      </c>
      <c r="B85" s="5">
        <v>9.4874E-2</v>
      </c>
      <c r="C85" s="32">
        <v>0.28462199999999999</v>
      </c>
      <c r="D85" s="32">
        <f t="shared" si="1"/>
        <v>0.62050399999999994</v>
      </c>
    </row>
    <row r="86" spans="1:4" ht="16">
      <c r="A86" s="2">
        <v>45425</v>
      </c>
      <c r="B86" s="5">
        <v>0.12587400000000001</v>
      </c>
      <c r="C86" s="32">
        <v>0.37762200000000001</v>
      </c>
      <c r="D86" s="32">
        <f t="shared" si="1"/>
        <v>0.49650399999999995</v>
      </c>
    </row>
    <row r="87" spans="1:4" ht="16">
      <c r="A87" s="2">
        <v>45426</v>
      </c>
      <c r="B87" s="5">
        <v>0.14774399999999999</v>
      </c>
      <c r="C87" s="32">
        <v>0.44323199999999996</v>
      </c>
      <c r="D87" s="32">
        <f t="shared" si="1"/>
        <v>0.40902400000000005</v>
      </c>
    </row>
    <row r="88" spans="1:4" ht="16">
      <c r="A88" s="2">
        <v>45427</v>
      </c>
      <c r="B88" s="5">
        <v>0.164966</v>
      </c>
      <c r="C88" s="32">
        <v>0.494898</v>
      </c>
      <c r="D88" s="32">
        <f t="shared" si="1"/>
        <v>0.34013600000000005</v>
      </c>
    </row>
    <row r="89" spans="1:4" ht="16">
      <c r="A89" s="2">
        <v>45428</v>
      </c>
      <c r="B89" s="5">
        <v>0.16316</v>
      </c>
      <c r="C89" s="32">
        <v>0.48948000000000003</v>
      </c>
      <c r="D89" s="32">
        <f t="shared" si="1"/>
        <v>0.34736</v>
      </c>
    </row>
    <row r="90" spans="1:4" ht="16">
      <c r="A90" s="2">
        <v>45429</v>
      </c>
      <c r="B90" s="5">
        <v>0.166106</v>
      </c>
      <c r="C90" s="32">
        <v>0.49831800000000004</v>
      </c>
      <c r="D90" s="32">
        <f t="shared" si="1"/>
        <v>0.33557599999999999</v>
      </c>
    </row>
    <row r="91" spans="1:4" ht="16">
      <c r="A91" s="2">
        <v>45432</v>
      </c>
      <c r="B91" s="5">
        <v>0.170319</v>
      </c>
      <c r="C91" s="32">
        <v>0.51095699999999999</v>
      </c>
      <c r="D91" s="32">
        <f t="shared" si="1"/>
        <v>0.31872400000000001</v>
      </c>
    </row>
    <row r="92" spans="1:4" ht="16">
      <c r="A92" s="2">
        <v>45433</v>
      </c>
      <c r="B92" s="5">
        <v>0.17025199999999999</v>
      </c>
      <c r="C92" s="32">
        <v>0.51075599999999999</v>
      </c>
      <c r="D92" s="32">
        <f t="shared" si="1"/>
        <v>0.31899200000000005</v>
      </c>
    </row>
    <row r="93" spans="1:4" ht="16">
      <c r="A93" s="2">
        <v>45434</v>
      </c>
      <c r="B93" s="5">
        <v>0.16944400000000001</v>
      </c>
      <c r="C93" s="32">
        <v>0.50833200000000001</v>
      </c>
      <c r="D93" s="32">
        <f t="shared" si="1"/>
        <v>0.32222399999999995</v>
      </c>
    </row>
    <row r="94" spans="1:4" ht="16">
      <c r="A94" s="2">
        <v>45435</v>
      </c>
      <c r="B94" s="5">
        <v>0.16684199999999999</v>
      </c>
      <c r="C94" s="32">
        <v>0.50052600000000003</v>
      </c>
      <c r="D94" s="32">
        <f t="shared" si="1"/>
        <v>0.33263200000000004</v>
      </c>
    </row>
    <row r="95" spans="1:4" ht="16">
      <c r="A95" s="2">
        <v>45436</v>
      </c>
      <c r="B95" s="5">
        <v>0.157971</v>
      </c>
      <c r="C95" s="32">
        <v>0.47391300000000003</v>
      </c>
      <c r="D95" s="32">
        <f t="shared" si="1"/>
        <v>0.368116</v>
      </c>
    </row>
    <row r="96" spans="1:4" ht="16">
      <c r="A96" s="2">
        <v>45439</v>
      </c>
      <c r="B96" s="5">
        <v>0.16173499999999999</v>
      </c>
      <c r="C96" s="32">
        <v>0.485205</v>
      </c>
      <c r="D96" s="32">
        <f t="shared" si="1"/>
        <v>0.35306000000000004</v>
      </c>
    </row>
    <row r="97" spans="1:4" ht="16">
      <c r="A97" s="2">
        <v>45440</v>
      </c>
      <c r="B97" s="5">
        <v>0.164995</v>
      </c>
      <c r="C97" s="32">
        <v>0.49498500000000001</v>
      </c>
      <c r="D97" s="32">
        <f t="shared" si="1"/>
        <v>0.34001999999999999</v>
      </c>
    </row>
    <row r="98" spans="1:4" ht="16">
      <c r="A98" s="2">
        <v>45441</v>
      </c>
      <c r="B98" s="5">
        <v>0.165995</v>
      </c>
      <c r="C98" s="32">
        <v>0.49798500000000001</v>
      </c>
      <c r="D98" s="32">
        <f t="shared" si="1"/>
        <v>0.33601999999999999</v>
      </c>
    </row>
    <row r="99" spans="1:4" ht="16">
      <c r="A99" s="2">
        <v>45442</v>
      </c>
      <c r="B99" s="5">
        <v>0.16251199999999999</v>
      </c>
      <c r="C99" s="32">
        <v>0.48753599999999997</v>
      </c>
      <c r="D99" s="32">
        <f t="shared" si="1"/>
        <v>0.34995200000000004</v>
      </c>
    </row>
    <row r="100" spans="1:4" ht="16">
      <c r="A100" s="2">
        <v>45443</v>
      </c>
      <c r="B100" s="5">
        <v>0.16330600000000001</v>
      </c>
      <c r="C100" s="32">
        <v>0.48991800000000002</v>
      </c>
      <c r="D100" s="32">
        <f t="shared" si="1"/>
        <v>0.34677600000000003</v>
      </c>
    </row>
    <row r="101" spans="1:4" ht="16">
      <c r="A101" s="2">
        <v>45446</v>
      </c>
      <c r="B101" s="5">
        <v>0.16156999999999999</v>
      </c>
      <c r="C101" s="32">
        <v>0.48470999999999997</v>
      </c>
      <c r="D101" s="32">
        <f t="shared" si="1"/>
        <v>0.35372000000000003</v>
      </c>
    </row>
    <row r="102" spans="1:4" ht="16">
      <c r="A102" s="2">
        <v>45447</v>
      </c>
      <c r="B102" s="5">
        <v>0.162795</v>
      </c>
      <c r="C102" s="32">
        <v>0.48838499999999996</v>
      </c>
      <c r="D102" s="32">
        <f t="shared" si="1"/>
        <v>0.34882000000000002</v>
      </c>
    </row>
    <row r="103" spans="1:4" ht="16">
      <c r="A103" s="2">
        <v>45448</v>
      </c>
      <c r="B103" s="5">
        <v>0.162021</v>
      </c>
      <c r="C103" s="32">
        <v>0.48606300000000002</v>
      </c>
      <c r="D103" s="32">
        <f t="shared" si="1"/>
        <v>0.35191600000000001</v>
      </c>
    </row>
    <row r="104" spans="1:4" ht="16">
      <c r="A104" s="2">
        <v>45449</v>
      </c>
      <c r="B104" s="5">
        <v>0.16341900000000001</v>
      </c>
      <c r="C104" s="32">
        <v>0.49025700000000005</v>
      </c>
      <c r="D104" s="32">
        <f t="shared" si="1"/>
        <v>0.34632399999999997</v>
      </c>
    </row>
    <row r="105" spans="1:4" ht="16">
      <c r="A105" s="2">
        <v>45450</v>
      </c>
      <c r="B105" s="5">
        <v>0.19314999999999999</v>
      </c>
      <c r="C105" s="32">
        <v>0.57945000000000002</v>
      </c>
      <c r="D105" s="32">
        <f t="shared" si="1"/>
        <v>0.22740000000000005</v>
      </c>
    </row>
    <row r="106" spans="1:4" ht="16">
      <c r="A106" s="2">
        <v>45454</v>
      </c>
      <c r="B106" s="5">
        <v>0.19025800000000001</v>
      </c>
      <c r="C106" s="32">
        <v>0.570774</v>
      </c>
      <c r="D106" s="32">
        <f t="shared" si="1"/>
        <v>0.23896799999999996</v>
      </c>
    </row>
    <row r="107" spans="1:4" ht="16">
      <c r="A107" s="2">
        <v>45455</v>
      </c>
      <c r="B107" s="5">
        <v>0.20047100000000001</v>
      </c>
      <c r="C107" s="32">
        <v>0.60141299999999998</v>
      </c>
      <c r="D107" s="32">
        <f t="shared" si="1"/>
        <v>0.19811599999999996</v>
      </c>
    </row>
    <row r="108" spans="1:4" ht="16">
      <c r="A108" s="2">
        <v>45456</v>
      </c>
      <c r="B108" s="5">
        <v>0.20003499999999999</v>
      </c>
      <c r="C108" s="32">
        <v>0.600105</v>
      </c>
      <c r="D108" s="32">
        <f t="shared" si="1"/>
        <v>0.19986000000000004</v>
      </c>
    </row>
    <row r="109" spans="1:4" ht="16">
      <c r="A109" s="2">
        <v>45457</v>
      </c>
      <c r="B109" s="5">
        <v>0.167569</v>
      </c>
      <c r="C109" s="32">
        <v>0.50270700000000001</v>
      </c>
      <c r="D109" s="32">
        <f t="shared" si="1"/>
        <v>0.32972400000000002</v>
      </c>
    </row>
    <row r="110" spans="1:4" ht="16">
      <c r="A110" s="2">
        <v>45460</v>
      </c>
      <c r="B110" s="5">
        <v>0.166912</v>
      </c>
      <c r="C110" s="32">
        <v>0.50073600000000007</v>
      </c>
      <c r="D110" s="32">
        <f t="shared" si="1"/>
        <v>0.33235199999999998</v>
      </c>
    </row>
    <row r="111" spans="1:4" ht="16">
      <c r="A111" s="2">
        <v>45461</v>
      </c>
      <c r="B111" s="5">
        <v>0.16924</v>
      </c>
      <c r="C111" s="32">
        <v>0.50771999999999995</v>
      </c>
      <c r="D111" s="32">
        <f t="shared" si="1"/>
        <v>0.32303999999999999</v>
      </c>
    </row>
    <row r="112" spans="1:4" ht="16">
      <c r="A112" s="2">
        <v>45462</v>
      </c>
      <c r="B112" s="5">
        <v>0.17347899999999999</v>
      </c>
      <c r="C112" s="32">
        <v>0.52043700000000004</v>
      </c>
      <c r="D112" s="32">
        <f t="shared" si="1"/>
        <v>0.30608400000000002</v>
      </c>
    </row>
    <row r="113" spans="1:4" ht="16">
      <c r="A113" s="2">
        <v>45463</v>
      </c>
      <c r="B113" s="5">
        <v>0.17391699999999999</v>
      </c>
      <c r="C113" s="32">
        <v>0.52175099999999996</v>
      </c>
      <c r="D113" s="32">
        <f t="shared" si="1"/>
        <v>0.30433200000000005</v>
      </c>
    </row>
    <row r="114" spans="1:4" ht="16">
      <c r="A114" s="2">
        <v>45464</v>
      </c>
      <c r="B114" s="5">
        <v>0.17320199999999999</v>
      </c>
      <c r="C114" s="32">
        <v>0.51960600000000001</v>
      </c>
      <c r="D114" s="32">
        <f t="shared" si="1"/>
        <v>0.30719200000000002</v>
      </c>
    </row>
    <row r="115" spans="1:4" ht="16">
      <c r="A115" s="2">
        <v>45467</v>
      </c>
      <c r="B115" s="5">
        <v>0.17178099999999999</v>
      </c>
      <c r="C115" s="32">
        <v>0.515343</v>
      </c>
      <c r="D115" s="32">
        <f t="shared" si="1"/>
        <v>0.31287600000000004</v>
      </c>
    </row>
    <row r="116" spans="1:4" ht="16">
      <c r="A116" s="2">
        <v>45468</v>
      </c>
      <c r="B116" s="5">
        <v>0.17203299999999999</v>
      </c>
      <c r="C116" s="32">
        <v>0.51609899999999997</v>
      </c>
      <c r="D116" s="32">
        <f t="shared" si="1"/>
        <v>0.31186800000000003</v>
      </c>
    </row>
    <row r="117" spans="1:4" ht="16">
      <c r="A117" s="2">
        <v>45469</v>
      </c>
      <c r="B117" s="5">
        <v>0.16658000000000001</v>
      </c>
      <c r="C117" s="32">
        <v>0.49974000000000002</v>
      </c>
      <c r="D117" s="32">
        <f t="shared" si="1"/>
        <v>0.33368000000000003</v>
      </c>
    </row>
    <row r="118" spans="1:4" ht="16">
      <c r="A118" s="2">
        <v>45470</v>
      </c>
      <c r="B118" s="5">
        <v>0.16595799999999999</v>
      </c>
      <c r="C118" s="32">
        <v>0.49787399999999998</v>
      </c>
      <c r="D118" s="32">
        <f t="shared" si="1"/>
        <v>0.33616799999999997</v>
      </c>
    </row>
    <row r="119" spans="1:4" ht="16">
      <c r="A119" s="2">
        <v>45471</v>
      </c>
      <c r="B119" s="5">
        <v>0.17033200000000001</v>
      </c>
      <c r="C119" s="32">
        <v>0.51099600000000001</v>
      </c>
      <c r="D119" s="32">
        <f t="shared" si="1"/>
        <v>0.31867199999999996</v>
      </c>
    </row>
    <row r="120" spans="1:4" ht="16">
      <c r="A120" s="2">
        <v>45474</v>
      </c>
      <c r="B120" s="5">
        <v>0.174707</v>
      </c>
      <c r="C120" s="32">
        <v>0.52412100000000006</v>
      </c>
      <c r="D120" s="32">
        <f t="shared" si="1"/>
        <v>0.301172</v>
      </c>
    </row>
    <row r="121" spans="1:4" ht="16">
      <c r="A121" s="2">
        <v>45475</v>
      </c>
      <c r="B121" s="5">
        <v>0.17419399999999999</v>
      </c>
      <c r="C121" s="32">
        <v>0.52258199999999999</v>
      </c>
      <c r="D121" s="32">
        <f t="shared" si="1"/>
        <v>0.30322400000000005</v>
      </c>
    </row>
    <row r="122" spans="1:4" ht="16">
      <c r="A122" s="2">
        <v>45476</v>
      </c>
      <c r="B122" s="5">
        <v>0.17272499999999999</v>
      </c>
      <c r="C122" s="32">
        <v>0.51817499999999994</v>
      </c>
      <c r="D122" s="32">
        <f t="shared" si="1"/>
        <v>0.30910000000000004</v>
      </c>
    </row>
    <row r="123" spans="1:4" ht="16">
      <c r="A123" s="2">
        <v>45477</v>
      </c>
      <c r="B123" s="5">
        <v>0.172318</v>
      </c>
      <c r="C123" s="32">
        <v>0.51695400000000002</v>
      </c>
      <c r="D123" s="32">
        <f t="shared" si="1"/>
        <v>0.310728</v>
      </c>
    </row>
    <row r="124" spans="1:4" ht="16">
      <c r="A124" s="2">
        <v>45478</v>
      </c>
      <c r="B124" s="5">
        <v>0.17252799999999999</v>
      </c>
      <c r="C124" s="32">
        <v>0.51758399999999993</v>
      </c>
      <c r="D124" s="32">
        <f t="shared" si="1"/>
        <v>0.30988800000000005</v>
      </c>
    </row>
    <row r="125" spans="1:4" ht="16">
      <c r="A125" s="2">
        <v>45481</v>
      </c>
      <c r="B125" s="5">
        <v>0.17307800000000001</v>
      </c>
      <c r="C125" s="32">
        <v>0.51923399999999997</v>
      </c>
      <c r="D125" s="32">
        <f t="shared" si="1"/>
        <v>0.30768799999999996</v>
      </c>
    </row>
    <row r="126" spans="1:4" ht="16">
      <c r="A126" s="2">
        <v>45482</v>
      </c>
      <c r="B126" s="5">
        <v>0.17494199999999999</v>
      </c>
      <c r="C126" s="32">
        <v>0.52482600000000001</v>
      </c>
      <c r="D126" s="32">
        <f t="shared" si="1"/>
        <v>0.30023200000000005</v>
      </c>
    </row>
    <row r="127" spans="1:4" ht="16">
      <c r="A127" s="2">
        <v>45483</v>
      </c>
      <c r="B127" s="5">
        <v>0.17066400000000001</v>
      </c>
      <c r="C127" s="32">
        <v>0.511992</v>
      </c>
      <c r="D127" s="32">
        <f t="shared" si="1"/>
        <v>0.31734399999999996</v>
      </c>
    </row>
    <row r="128" spans="1:4" ht="16">
      <c r="A128" s="2">
        <v>45484</v>
      </c>
      <c r="B128" s="5">
        <v>0.17231099999999999</v>
      </c>
      <c r="C128" s="32">
        <v>0.51693299999999998</v>
      </c>
      <c r="D128" s="32">
        <f t="shared" si="1"/>
        <v>0.31075600000000003</v>
      </c>
    </row>
    <row r="129" spans="1:4" ht="16">
      <c r="A129" s="2">
        <v>45485</v>
      </c>
      <c r="B129" s="5">
        <v>0.168017</v>
      </c>
      <c r="C129" s="32">
        <v>0.50405100000000003</v>
      </c>
      <c r="D129" s="32">
        <f t="shared" si="1"/>
        <v>0.327932</v>
      </c>
    </row>
    <row r="130" spans="1:4" ht="16">
      <c r="A130" s="2">
        <v>45488</v>
      </c>
      <c r="B130" s="5">
        <v>0.16775899999999999</v>
      </c>
      <c r="C130" s="32">
        <v>0.50327699999999997</v>
      </c>
      <c r="D130" s="32">
        <f t="shared" si="1"/>
        <v>0.32896400000000003</v>
      </c>
    </row>
    <row r="131" spans="1:4" ht="16">
      <c r="A131" s="2">
        <v>45489</v>
      </c>
      <c r="B131" s="5">
        <v>0.16747999999999999</v>
      </c>
      <c r="C131" s="32">
        <v>0.50244</v>
      </c>
      <c r="D131" s="32">
        <f t="shared" ref="D131:D194" si="2">1-B131-C131</f>
        <v>0.33008000000000004</v>
      </c>
    </row>
    <row r="132" spans="1:4" ht="16">
      <c r="A132" s="2">
        <v>45490</v>
      </c>
      <c r="B132" s="5">
        <v>0.16624900000000001</v>
      </c>
      <c r="C132" s="32">
        <v>0.49874700000000005</v>
      </c>
      <c r="D132" s="32">
        <f t="shared" si="2"/>
        <v>0.33500399999999997</v>
      </c>
    </row>
    <row r="133" spans="1:4" ht="16">
      <c r="A133" s="2">
        <v>45491</v>
      </c>
      <c r="B133" s="5">
        <v>0.170407</v>
      </c>
      <c r="C133" s="32">
        <v>0.51122100000000004</v>
      </c>
      <c r="D133" s="32">
        <f t="shared" si="2"/>
        <v>0.31837199999999999</v>
      </c>
    </row>
    <row r="134" spans="1:4" ht="16">
      <c r="A134" s="2">
        <v>45492</v>
      </c>
      <c r="B134" s="5">
        <v>0.17288400000000001</v>
      </c>
      <c r="C134" s="32">
        <v>0.518652</v>
      </c>
      <c r="D134" s="32">
        <f t="shared" si="2"/>
        <v>0.30846399999999996</v>
      </c>
    </row>
    <row r="135" spans="1:4" ht="16">
      <c r="A135" s="2">
        <v>45495</v>
      </c>
      <c r="B135" s="5">
        <v>0.17096800000000001</v>
      </c>
      <c r="C135" s="32">
        <v>0.51290400000000003</v>
      </c>
      <c r="D135" s="32">
        <f t="shared" si="2"/>
        <v>0.31612799999999996</v>
      </c>
    </row>
    <row r="136" spans="1:4" ht="16">
      <c r="A136" s="2">
        <v>45496</v>
      </c>
      <c r="B136" s="5">
        <v>0.169624</v>
      </c>
      <c r="C136" s="32">
        <v>0.50887199999999999</v>
      </c>
      <c r="D136" s="32">
        <f t="shared" si="2"/>
        <v>0.32150400000000001</v>
      </c>
    </row>
    <row r="137" spans="1:4" ht="16">
      <c r="A137" s="2">
        <v>45497</v>
      </c>
      <c r="B137" s="5">
        <v>0.17555999999999999</v>
      </c>
      <c r="C137" s="32">
        <v>0.52668000000000004</v>
      </c>
      <c r="D137" s="32">
        <f t="shared" si="2"/>
        <v>0.29776000000000002</v>
      </c>
    </row>
    <row r="138" spans="1:4" ht="16">
      <c r="A138" s="2">
        <v>45498</v>
      </c>
      <c r="B138" s="5">
        <v>0.17424300000000001</v>
      </c>
      <c r="C138" s="32">
        <v>0.522729</v>
      </c>
      <c r="D138" s="32">
        <f t="shared" si="2"/>
        <v>0.30302799999999996</v>
      </c>
    </row>
    <row r="139" spans="1:4" ht="16">
      <c r="A139" s="2">
        <v>45499</v>
      </c>
      <c r="B139" s="5">
        <v>0.174572</v>
      </c>
      <c r="C139" s="32">
        <v>0.52371600000000007</v>
      </c>
      <c r="D139" s="32">
        <f t="shared" si="2"/>
        <v>0.30171199999999998</v>
      </c>
    </row>
    <row r="140" spans="1:4" ht="16">
      <c r="A140" s="2">
        <v>45502</v>
      </c>
      <c r="B140" s="5">
        <v>0.17546500000000001</v>
      </c>
      <c r="C140" s="32">
        <v>0.52639500000000006</v>
      </c>
      <c r="D140" s="32">
        <f t="shared" si="2"/>
        <v>0.29813999999999996</v>
      </c>
    </row>
    <row r="141" spans="1:4" ht="16">
      <c r="A141" s="2">
        <v>45503</v>
      </c>
      <c r="B141" s="5">
        <v>0.173429</v>
      </c>
      <c r="C141" s="32">
        <v>0.52028699999999994</v>
      </c>
      <c r="D141" s="32">
        <f t="shared" si="2"/>
        <v>0.306284</v>
      </c>
    </row>
    <row r="142" spans="1:4" ht="16">
      <c r="A142" s="2">
        <v>45504</v>
      </c>
      <c r="B142" s="5">
        <v>0.17527799999999999</v>
      </c>
      <c r="C142" s="32">
        <v>0.52583399999999991</v>
      </c>
      <c r="D142" s="32">
        <f t="shared" si="2"/>
        <v>0.29888800000000004</v>
      </c>
    </row>
    <row r="143" spans="1:4" ht="16">
      <c r="A143" s="2">
        <v>45505</v>
      </c>
      <c r="B143" s="5">
        <v>0.174787</v>
      </c>
      <c r="C143" s="32">
        <v>0.52436099999999997</v>
      </c>
      <c r="D143" s="32">
        <f t="shared" si="2"/>
        <v>0.30085200000000001</v>
      </c>
    </row>
    <row r="144" spans="1:4" ht="16">
      <c r="A144" s="2">
        <v>45506</v>
      </c>
      <c r="B144" s="5">
        <v>0.17294799999999999</v>
      </c>
      <c r="C144" s="32">
        <v>0.51884399999999997</v>
      </c>
      <c r="D144" s="32">
        <f t="shared" si="2"/>
        <v>0.30820800000000004</v>
      </c>
    </row>
    <row r="145" spans="1:4" ht="16">
      <c r="A145" s="2">
        <v>45509</v>
      </c>
      <c r="B145" s="5">
        <v>0.16530500000000001</v>
      </c>
      <c r="C145" s="32">
        <v>0.49591499999999999</v>
      </c>
      <c r="D145" s="32">
        <f t="shared" si="2"/>
        <v>0.33877999999999997</v>
      </c>
    </row>
    <row r="146" spans="1:4" ht="16">
      <c r="A146" s="2">
        <v>45510</v>
      </c>
      <c r="B146" s="5">
        <v>0.16342300000000001</v>
      </c>
      <c r="C146" s="32">
        <v>0.49026900000000007</v>
      </c>
      <c r="D146" s="32">
        <f t="shared" si="2"/>
        <v>0.34630799999999995</v>
      </c>
    </row>
    <row r="147" spans="1:4" ht="16">
      <c r="A147" s="2">
        <v>45511</v>
      </c>
      <c r="B147" s="5">
        <v>0.147594</v>
      </c>
      <c r="C147" s="32">
        <v>0.44278200000000001</v>
      </c>
      <c r="D147" s="32">
        <f t="shared" si="2"/>
        <v>0.40962399999999999</v>
      </c>
    </row>
    <row r="148" spans="1:4" ht="16">
      <c r="A148" s="2">
        <v>45512</v>
      </c>
      <c r="B148" s="5">
        <v>0.147011</v>
      </c>
      <c r="C148" s="32">
        <v>0.44103300000000001</v>
      </c>
      <c r="D148" s="32">
        <f t="shared" si="2"/>
        <v>0.41195599999999999</v>
      </c>
    </row>
    <row r="149" spans="1:4" ht="16">
      <c r="A149" s="2">
        <v>45513</v>
      </c>
      <c r="B149" s="5">
        <v>0.15542900000000001</v>
      </c>
      <c r="C149" s="32">
        <v>0.46628700000000001</v>
      </c>
      <c r="D149" s="32">
        <f t="shared" si="2"/>
        <v>0.37828399999999995</v>
      </c>
    </row>
    <row r="150" spans="1:4" ht="16">
      <c r="A150" s="2">
        <v>45516</v>
      </c>
      <c r="B150" s="5">
        <v>0.156087</v>
      </c>
      <c r="C150" s="32">
        <v>0.46826100000000004</v>
      </c>
      <c r="D150" s="32">
        <f t="shared" si="2"/>
        <v>0.37565199999999999</v>
      </c>
    </row>
    <row r="151" spans="1:4" ht="16">
      <c r="A151" s="2">
        <v>45517</v>
      </c>
      <c r="B151" s="5">
        <v>0.15632799999999999</v>
      </c>
      <c r="C151" s="32">
        <v>0.46898399999999996</v>
      </c>
      <c r="D151" s="32">
        <f t="shared" si="2"/>
        <v>0.37468800000000002</v>
      </c>
    </row>
    <row r="152" spans="1:4" ht="16">
      <c r="A152" s="2">
        <v>45518</v>
      </c>
      <c r="B152" s="5">
        <v>0.155559</v>
      </c>
      <c r="C152" s="32">
        <v>0.46667700000000001</v>
      </c>
      <c r="D152" s="32">
        <f t="shared" si="2"/>
        <v>0.37776399999999999</v>
      </c>
    </row>
    <row r="153" spans="1:4" ht="16">
      <c r="A153" s="2">
        <v>45519</v>
      </c>
      <c r="B153" s="5">
        <v>0.15762399999999999</v>
      </c>
      <c r="C153" s="32">
        <v>0.47287199999999996</v>
      </c>
      <c r="D153" s="32">
        <f t="shared" si="2"/>
        <v>0.36950400000000005</v>
      </c>
    </row>
    <row r="154" spans="1:4" ht="16">
      <c r="A154" s="2">
        <v>45520</v>
      </c>
      <c r="B154" s="5">
        <v>0.15749199999999999</v>
      </c>
      <c r="C154" s="32">
        <v>0.47247600000000001</v>
      </c>
      <c r="D154" s="32">
        <f t="shared" si="2"/>
        <v>0.37003200000000003</v>
      </c>
    </row>
    <row r="155" spans="1:4" ht="16">
      <c r="A155" s="2">
        <v>45523</v>
      </c>
      <c r="B155" s="5">
        <v>0.161493</v>
      </c>
      <c r="C155" s="32">
        <v>0.48447899999999999</v>
      </c>
      <c r="D155" s="32">
        <f t="shared" si="2"/>
        <v>0.35402800000000001</v>
      </c>
    </row>
    <row r="156" spans="1:4" ht="16">
      <c r="A156" s="2">
        <v>45524</v>
      </c>
      <c r="B156" s="5">
        <v>0.158191</v>
      </c>
      <c r="C156" s="32">
        <v>0.47457300000000002</v>
      </c>
      <c r="D156" s="32">
        <f t="shared" si="2"/>
        <v>0.36723600000000001</v>
      </c>
    </row>
    <row r="157" spans="1:4" ht="16">
      <c r="A157" s="2">
        <v>45525</v>
      </c>
      <c r="B157" s="5">
        <v>0.15420400000000001</v>
      </c>
      <c r="C157" s="32">
        <v>0.46261200000000002</v>
      </c>
      <c r="D157" s="32">
        <f t="shared" si="2"/>
        <v>0.38318399999999997</v>
      </c>
    </row>
    <row r="158" spans="1:4" ht="16">
      <c r="A158" s="2">
        <v>45526</v>
      </c>
      <c r="B158" s="5">
        <v>0.15453</v>
      </c>
      <c r="C158" s="32">
        <v>0.46359</v>
      </c>
      <c r="D158" s="32">
        <f t="shared" si="2"/>
        <v>0.38187999999999994</v>
      </c>
    </row>
    <row r="159" spans="1:4" ht="16">
      <c r="A159" s="2">
        <v>45527</v>
      </c>
      <c r="B159" s="5">
        <v>0.15445900000000001</v>
      </c>
      <c r="C159" s="32">
        <v>0.46337700000000004</v>
      </c>
      <c r="D159" s="32">
        <f t="shared" si="2"/>
        <v>0.38216399999999995</v>
      </c>
    </row>
    <row r="160" spans="1:4" ht="16">
      <c r="A160" s="2">
        <v>45530</v>
      </c>
      <c r="B160" s="5">
        <v>0.15431900000000001</v>
      </c>
      <c r="C160" s="32">
        <v>0.46295700000000006</v>
      </c>
      <c r="D160" s="32">
        <f t="shared" si="2"/>
        <v>0.38272399999999995</v>
      </c>
    </row>
    <row r="161" spans="1:4" ht="16">
      <c r="A161" s="2">
        <v>45531</v>
      </c>
      <c r="B161" s="5">
        <v>0.15420700000000001</v>
      </c>
      <c r="C161" s="32">
        <v>0.46262100000000006</v>
      </c>
      <c r="D161" s="32">
        <f t="shared" si="2"/>
        <v>0.38317199999999996</v>
      </c>
    </row>
    <row r="162" spans="1:4" ht="16">
      <c r="A162" s="2">
        <v>45532</v>
      </c>
      <c r="B162" s="5">
        <v>0.15387700000000001</v>
      </c>
      <c r="C162" s="32">
        <v>0.46163100000000001</v>
      </c>
      <c r="D162" s="32">
        <f t="shared" si="2"/>
        <v>0.38449199999999994</v>
      </c>
    </row>
    <row r="163" spans="1:4" ht="16">
      <c r="A163" s="2">
        <v>45533</v>
      </c>
      <c r="B163" s="5">
        <v>0.15249399999999999</v>
      </c>
      <c r="C163" s="32">
        <v>0.45748199999999994</v>
      </c>
      <c r="D163" s="32">
        <f t="shared" si="2"/>
        <v>0.39002400000000004</v>
      </c>
    </row>
    <row r="164" spans="1:4" ht="16">
      <c r="A164" s="2">
        <v>45534</v>
      </c>
      <c r="B164" s="5">
        <v>0.15417700000000001</v>
      </c>
      <c r="C164" s="32">
        <v>0.46253100000000003</v>
      </c>
      <c r="D164" s="32">
        <f t="shared" si="2"/>
        <v>0.38329199999999997</v>
      </c>
    </row>
    <row r="165" spans="1:4" ht="16">
      <c r="A165" s="2">
        <v>45537</v>
      </c>
      <c r="B165" s="5">
        <v>0.153754</v>
      </c>
      <c r="C165" s="32">
        <v>0.46126200000000001</v>
      </c>
      <c r="D165" s="32">
        <f t="shared" si="2"/>
        <v>0.38498400000000005</v>
      </c>
    </row>
    <row r="166" spans="1:4" ht="16">
      <c r="A166" s="2">
        <v>45538</v>
      </c>
      <c r="B166" s="5">
        <v>0.15265100000000001</v>
      </c>
      <c r="C166" s="32">
        <v>0.45795300000000005</v>
      </c>
      <c r="D166" s="32">
        <f t="shared" si="2"/>
        <v>0.38939599999999996</v>
      </c>
    </row>
    <row r="167" spans="1:4" ht="16">
      <c r="A167" s="2">
        <v>45539</v>
      </c>
      <c r="B167" s="5">
        <v>0.15201999999999999</v>
      </c>
      <c r="C167" s="32">
        <v>0.45605999999999997</v>
      </c>
      <c r="D167" s="32">
        <f t="shared" si="2"/>
        <v>0.39191999999999999</v>
      </c>
    </row>
    <row r="168" spans="1:4" ht="16">
      <c r="A168" s="2">
        <v>45540</v>
      </c>
      <c r="B168" s="5">
        <v>0.15185699999999999</v>
      </c>
      <c r="C168" s="32">
        <v>0.45557099999999995</v>
      </c>
      <c r="D168" s="32">
        <f t="shared" si="2"/>
        <v>0.39257200000000003</v>
      </c>
    </row>
    <row r="169" spans="1:4" ht="16">
      <c r="A169" s="2">
        <v>45541</v>
      </c>
      <c r="B169" s="5">
        <v>0.15060699999999999</v>
      </c>
      <c r="C169" s="32">
        <v>0.45182099999999997</v>
      </c>
      <c r="D169" s="32">
        <f t="shared" si="2"/>
        <v>0.39757200000000009</v>
      </c>
    </row>
    <row r="170" spans="1:4" ht="16">
      <c r="A170" s="2">
        <v>45544</v>
      </c>
      <c r="B170" s="5">
        <v>0.150116</v>
      </c>
      <c r="C170" s="32">
        <v>0.45034799999999997</v>
      </c>
      <c r="D170" s="32">
        <f t="shared" si="2"/>
        <v>0.399536</v>
      </c>
    </row>
    <row r="171" spans="1:4" ht="16">
      <c r="A171" s="2">
        <v>45545</v>
      </c>
      <c r="B171" s="5">
        <v>0.15093300000000001</v>
      </c>
      <c r="C171" s="32">
        <v>0.45279900000000006</v>
      </c>
      <c r="D171" s="32">
        <f t="shared" si="2"/>
        <v>0.39626799999999995</v>
      </c>
    </row>
    <row r="172" spans="1:4" ht="16">
      <c r="A172" s="2">
        <v>45546</v>
      </c>
      <c r="B172" s="5">
        <v>0.146259</v>
      </c>
      <c r="C172" s="32">
        <v>0.43877699999999997</v>
      </c>
      <c r="D172" s="32">
        <f t="shared" si="2"/>
        <v>0.414964</v>
      </c>
    </row>
    <row r="173" spans="1:4" ht="16">
      <c r="A173" s="2">
        <v>45547</v>
      </c>
      <c r="B173" s="5">
        <v>0.14643700000000001</v>
      </c>
      <c r="C173" s="32">
        <v>0.43931100000000001</v>
      </c>
      <c r="D173" s="32">
        <f t="shared" si="2"/>
        <v>0.41425199999999995</v>
      </c>
    </row>
    <row r="174" spans="1:4" ht="16">
      <c r="A174" s="2">
        <v>45548</v>
      </c>
      <c r="B174" s="5">
        <v>0.14476900000000001</v>
      </c>
      <c r="C174" s="32">
        <v>0.434307</v>
      </c>
      <c r="D174" s="32">
        <f t="shared" si="2"/>
        <v>0.42092399999999996</v>
      </c>
    </row>
    <row r="175" spans="1:4" ht="16">
      <c r="A175" s="2">
        <v>45553</v>
      </c>
      <c r="B175" s="5">
        <v>0.14532600000000001</v>
      </c>
      <c r="C175" s="32">
        <v>0.43597800000000003</v>
      </c>
      <c r="D175" s="32">
        <f t="shared" si="2"/>
        <v>0.4186959999999999</v>
      </c>
    </row>
    <row r="176" spans="1:4" ht="16">
      <c r="A176" s="2">
        <v>45554</v>
      </c>
      <c r="B176" s="5">
        <v>0.14698</v>
      </c>
      <c r="C176" s="32">
        <v>0.44094</v>
      </c>
      <c r="D176" s="32">
        <f t="shared" si="2"/>
        <v>0.41208</v>
      </c>
    </row>
    <row r="177" spans="1:4" ht="16">
      <c r="A177" s="2">
        <v>45555</v>
      </c>
      <c r="B177" s="5">
        <v>0.14846599999999999</v>
      </c>
      <c r="C177" s="32">
        <v>0.44539799999999996</v>
      </c>
      <c r="D177" s="32">
        <f t="shared" si="2"/>
        <v>0.40613600000000005</v>
      </c>
    </row>
    <row r="178" spans="1:4" ht="16">
      <c r="A178" s="2">
        <v>45558</v>
      </c>
      <c r="B178" s="5">
        <v>0.14912300000000001</v>
      </c>
      <c r="C178" s="32">
        <v>0.44736900000000002</v>
      </c>
      <c r="D178" s="32">
        <f t="shared" si="2"/>
        <v>0.40350799999999998</v>
      </c>
    </row>
    <row r="179" spans="1:4" ht="16">
      <c r="A179" s="2">
        <v>45559</v>
      </c>
      <c r="B179" s="5">
        <v>0.15628800000000001</v>
      </c>
      <c r="C179" s="32">
        <v>0.46886400000000006</v>
      </c>
      <c r="D179" s="32">
        <f t="shared" si="2"/>
        <v>0.37484799999999996</v>
      </c>
    </row>
    <row r="180" spans="1:4" ht="16">
      <c r="A180" s="2">
        <v>45560</v>
      </c>
      <c r="B180" s="5">
        <v>0.15683900000000001</v>
      </c>
      <c r="C180" s="32">
        <v>0.47051700000000002</v>
      </c>
      <c r="D180" s="32">
        <f t="shared" si="2"/>
        <v>0.37264400000000003</v>
      </c>
    </row>
    <row r="181" spans="1:4" ht="16">
      <c r="A181" s="2">
        <v>45561</v>
      </c>
      <c r="B181" s="5">
        <v>0.161796</v>
      </c>
      <c r="C181" s="32">
        <v>0.48538799999999999</v>
      </c>
      <c r="D181" s="32">
        <f t="shared" si="2"/>
        <v>0.35281599999999996</v>
      </c>
    </row>
    <row r="182" spans="1:4" ht="16">
      <c r="A182" s="2">
        <v>45562</v>
      </c>
      <c r="B182" s="5">
        <v>0.16420999999999999</v>
      </c>
      <c r="C182" s="32">
        <v>0.49263000000000001</v>
      </c>
      <c r="D182" s="32">
        <f t="shared" si="2"/>
        <v>0.34316000000000002</v>
      </c>
    </row>
    <row r="183" spans="1:4" ht="16">
      <c r="A183" s="2">
        <v>45565</v>
      </c>
      <c r="B183" s="5">
        <v>0.17561399999999999</v>
      </c>
      <c r="C183" s="32">
        <v>0.52684200000000003</v>
      </c>
      <c r="D183" s="32">
        <f t="shared" si="2"/>
        <v>0.29754400000000003</v>
      </c>
    </row>
    <row r="184" spans="1:4" ht="16">
      <c r="A184" s="2">
        <v>45573</v>
      </c>
      <c r="B184" s="5">
        <v>0.177677</v>
      </c>
      <c r="C184" s="32">
        <v>0.53303100000000003</v>
      </c>
      <c r="D184" s="32">
        <f t="shared" si="2"/>
        <v>0.28929199999999999</v>
      </c>
    </row>
    <row r="185" spans="1:4" ht="16">
      <c r="A185" s="2">
        <v>45574</v>
      </c>
      <c r="B185" s="5">
        <v>0.16428100000000001</v>
      </c>
      <c r="C185" s="32">
        <v>0.49284300000000003</v>
      </c>
      <c r="D185" s="32">
        <f t="shared" si="2"/>
        <v>0.34287599999999996</v>
      </c>
    </row>
    <row r="186" spans="1:4" ht="16">
      <c r="A186" s="2">
        <v>45575</v>
      </c>
      <c r="B186" s="5">
        <v>0.167517</v>
      </c>
      <c r="C186" s="32">
        <v>0.50255099999999997</v>
      </c>
      <c r="D186" s="32">
        <f t="shared" si="2"/>
        <v>0.329932</v>
      </c>
    </row>
    <row r="187" spans="1:4" ht="16">
      <c r="A187" s="2">
        <v>45576</v>
      </c>
      <c r="B187" s="5">
        <v>0.16566800000000001</v>
      </c>
      <c r="C187" s="32">
        <v>0.497004</v>
      </c>
      <c r="D187" s="32">
        <f t="shared" si="2"/>
        <v>0.33732799999999996</v>
      </c>
    </row>
    <row r="188" spans="1:4" ht="16">
      <c r="A188" s="2">
        <v>45579</v>
      </c>
      <c r="B188" s="5">
        <v>0.17036899999999999</v>
      </c>
      <c r="C188" s="32">
        <v>0.51110699999999998</v>
      </c>
      <c r="D188" s="32">
        <f t="shared" si="2"/>
        <v>0.31852400000000003</v>
      </c>
    </row>
    <row r="189" spans="1:4" ht="16">
      <c r="A189" s="2">
        <v>45580</v>
      </c>
      <c r="B189" s="5">
        <v>0.185445</v>
      </c>
      <c r="C189" s="32">
        <v>0.55633500000000002</v>
      </c>
      <c r="D189" s="32">
        <f t="shared" si="2"/>
        <v>0.25822000000000001</v>
      </c>
    </row>
    <row r="190" spans="1:4" ht="16">
      <c r="A190" s="2">
        <v>45581</v>
      </c>
      <c r="B190" s="5">
        <v>0.204258</v>
      </c>
      <c r="C190" s="32">
        <v>0.61277399999999993</v>
      </c>
      <c r="D190" s="32">
        <f t="shared" si="2"/>
        <v>0.18296800000000002</v>
      </c>
    </row>
    <row r="191" spans="1:4" ht="16">
      <c r="A191" s="2">
        <v>45582</v>
      </c>
      <c r="B191" s="5">
        <v>0.20088600000000001</v>
      </c>
      <c r="C191" s="32">
        <v>0.60265800000000003</v>
      </c>
      <c r="D191" s="32">
        <f t="shared" si="2"/>
        <v>0.19645599999999996</v>
      </c>
    </row>
    <row r="192" spans="1:4" ht="16">
      <c r="A192" s="2">
        <v>45583</v>
      </c>
      <c r="B192" s="5">
        <v>0.203037</v>
      </c>
      <c r="C192" s="32">
        <v>0.60911099999999996</v>
      </c>
      <c r="D192" s="32">
        <f t="shared" si="2"/>
        <v>0.18785200000000002</v>
      </c>
    </row>
    <row r="193" spans="1:4" ht="16">
      <c r="A193" s="2">
        <v>45586</v>
      </c>
      <c r="B193" s="5">
        <v>0.20303299999999999</v>
      </c>
      <c r="C193" s="32">
        <v>0.60909899999999995</v>
      </c>
      <c r="D193" s="32">
        <f t="shared" si="2"/>
        <v>0.18786800000000003</v>
      </c>
    </row>
    <row r="194" spans="1:4" ht="16">
      <c r="A194" s="2">
        <v>45587</v>
      </c>
      <c r="B194" s="5">
        <v>0.20410300000000001</v>
      </c>
      <c r="C194" s="32">
        <v>0.61230899999999999</v>
      </c>
      <c r="D194" s="32">
        <f t="shared" si="2"/>
        <v>0.18358799999999997</v>
      </c>
    </row>
    <row r="195" spans="1:4" ht="16">
      <c r="A195" s="2">
        <v>45588</v>
      </c>
      <c r="B195" s="5">
        <v>0.20619000000000001</v>
      </c>
      <c r="C195" s="32">
        <v>0.61857000000000006</v>
      </c>
      <c r="D195" s="32">
        <f t="shared" ref="D195:D217" si="3">1-B195-C195</f>
        <v>0.17523999999999995</v>
      </c>
    </row>
    <row r="196" spans="1:4" ht="16">
      <c r="A196" s="2">
        <v>45589</v>
      </c>
      <c r="B196" s="5">
        <v>0.20504500000000001</v>
      </c>
      <c r="C196" s="32">
        <v>0.61513499999999999</v>
      </c>
      <c r="D196" s="32">
        <f t="shared" si="3"/>
        <v>0.17981999999999998</v>
      </c>
    </row>
    <row r="197" spans="1:4" ht="16">
      <c r="A197" s="2">
        <v>45590</v>
      </c>
      <c r="B197" s="5">
        <v>0.19853699999999999</v>
      </c>
      <c r="C197" s="32">
        <v>0.595611</v>
      </c>
      <c r="D197" s="32">
        <f t="shared" si="3"/>
        <v>0.20585200000000003</v>
      </c>
    </row>
    <row r="198" spans="1:4" ht="16">
      <c r="A198" s="2">
        <v>45593</v>
      </c>
      <c r="B198" s="5">
        <v>0.19867899999999999</v>
      </c>
      <c r="C198" s="32">
        <v>0.59603699999999993</v>
      </c>
      <c r="D198" s="32">
        <f t="shared" si="3"/>
        <v>0.20528400000000002</v>
      </c>
    </row>
    <row r="199" spans="1:4" ht="16">
      <c r="A199" s="2">
        <v>45594</v>
      </c>
      <c r="B199" s="5">
        <v>0.197266</v>
      </c>
      <c r="C199" s="32">
        <v>0.59179800000000005</v>
      </c>
      <c r="D199" s="32">
        <f t="shared" si="3"/>
        <v>0.21093600000000001</v>
      </c>
    </row>
    <row r="200" spans="1:4" ht="16">
      <c r="A200" s="2">
        <v>45595</v>
      </c>
      <c r="B200" s="5">
        <v>0.19573499999999999</v>
      </c>
      <c r="C200" s="32">
        <v>0.58720499999999998</v>
      </c>
      <c r="D200" s="32">
        <f t="shared" si="3"/>
        <v>0.21706000000000003</v>
      </c>
    </row>
    <row r="201" spans="1:4" ht="16">
      <c r="A201" s="2">
        <v>45596</v>
      </c>
      <c r="B201" s="5">
        <v>0.19534299999999999</v>
      </c>
      <c r="C201" s="32">
        <v>0.58602899999999991</v>
      </c>
      <c r="D201" s="32">
        <f t="shared" si="3"/>
        <v>0.21862800000000004</v>
      </c>
    </row>
    <row r="202" spans="1:4" ht="16">
      <c r="A202" s="2">
        <v>45597</v>
      </c>
      <c r="B202" s="5">
        <v>0.19747700000000001</v>
      </c>
      <c r="C202" s="32">
        <v>0.59243100000000004</v>
      </c>
      <c r="D202" s="32">
        <f t="shared" si="3"/>
        <v>0.21009199999999995</v>
      </c>
    </row>
    <row r="203" spans="1:4" ht="16">
      <c r="A203" s="2">
        <v>45600</v>
      </c>
      <c r="B203" s="5">
        <v>0.19659699999999999</v>
      </c>
      <c r="C203" s="32">
        <v>0.58979099999999995</v>
      </c>
      <c r="D203" s="32">
        <f t="shared" si="3"/>
        <v>0.21361200000000002</v>
      </c>
    </row>
    <row r="204" spans="1:4" ht="16">
      <c r="A204" s="2">
        <v>45601</v>
      </c>
      <c r="B204" s="5">
        <v>0.20038600000000001</v>
      </c>
      <c r="C204" s="32">
        <v>0.60115800000000008</v>
      </c>
      <c r="D204" s="32">
        <f t="shared" si="3"/>
        <v>0.19845599999999997</v>
      </c>
    </row>
    <row r="205" spans="1:4" ht="16">
      <c r="A205" s="2">
        <v>45602</v>
      </c>
      <c r="B205" s="5">
        <v>0.19939000000000001</v>
      </c>
      <c r="C205" s="32">
        <v>0.59817000000000009</v>
      </c>
      <c r="D205" s="32">
        <f t="shared" si="3"/>
        <v>0.20243999999999995</v>
      </c>
    </row>
    <row r="206" spans="1:4" ht="16">
      <c r="A206" s="2">
        <v>45603</v>
      </c>
      <c r="B206" s="5">
        <v>0.20266899999999999</v>
      </c>
      <c r="C206" s="32">
        <v>0.60800699999999996</v>
      </c>
      <c r="D206" s="32">
        <f t="shared" si="3"/>
        <v>0.18932400000000005</v>
      </c>
    </row>
    <row r="207" spans="1:4" ht="16">
      <c r="A207" s="2">
        <v>45604</v>
      </c>
      <c r="B207" s="5">
        <v>0.19955400000000001</v>
      </c>
      <c r="C207" s="32">
        <v>0.59866200000000003</v>
      </c>
      <c r="D207" s="32">
        <f t="shared" si="3"/>
        <v>0.20178399999999996</v>
      </c>
    </row>
    <row r="208" spans="1:4" ht="16">
      <c r="A208" s="2">
        <v>45607</v>
      </c>
      <c r="B208" s="5">
        <v>0.19760900000000001</v>
      </c>
      <c r="C208" s="32">
        <v>0.59282699999999999</v>
      </c>
      <c r="D208" s="32">
        <f t="shared" si="3"/>
        <v>0.20956399999999997</v>
      </c>
    </row>
    <row r="209" spans="1:8" ht="16">
      <c r="A209" s="2">
        <v>45608</v>
      </c>
      <c r="B209" s="5">
        <v>0.195852</v>
      </c>
      <c r="C209" s="32">
        <v>0.58755599999999997</v>
      </c>
      <c r="D209" s="32">
        <f t="shared" si="3"/>
        <v>0.21659200000000001</v>
      </c>
    </row>
    <row r="210" spans="1:8" ht="16">
      <c r="A210" s="2">
        <v>45609</v>
      </c>
      <c r="B210" s="5">
        <v>0.19674900000000001</v>
      </c>
      <c r="C210" s="32">
        <v>0.59024699999999997</v>
      </c>
      <c r="D210" s="32">
        <f t="shared" si="3"/>
        <v>0.21300399999999997</v>
      </c>
    </row>
    <row r="211" spans="1:8" ht="16">
      <c r="A211" s="2">
        <v>45610</v>
      </c>
      <c r="B211" s="5">
        <v>0.19438</v>
      </c>
      <c r="C211" s="32">
        <v>0.58313999999999999</v>
      </c>
      <c r="D211" s="32">
        <f t="shared" si="3"/>
        <v>0.22248000000000001</v>
      </c>
    </row>
    <row r="212" spans="1:8" ht="16">
      <c r="A212" s="2">
        <v>45611</v>
      </c>
      <c r="B212" s="5">
        <v>0.19375300000000001</v>
      </c>
      <c r="C212" s="32">
        <v>0.58125899999999997</v>
      </c>
      <c r="D212" s="32">
        <f t="shared" si="3"/>
        <v>0.22498799999999997</v>
      </c>
    </row>
    <row r="213" spans="1:8" ht="16">
      <c r="A213" s="2">
        <v>45614</v>
      </c>
      <c r="B213" s="5">
        <v>0.19697799999999999</v>
      </c>
      <c r="C213" s="32">
        <v>0.59093399999999996</v>
      </c>
      <c r="D213" s="32">
        <f t="shared" si="3"/>
        <v>0.21208800000000005</v>
      </c>
    </row>
    <row r="214" spans="1:8" ht="16">
      <c r="A214" s="2">
        <v>45615</v>
      </c>
      <c r="B214" s="5">
        <v>0.199325</v>
      </c>
      <c r="C214" s="32">
        <v>0.59797500000000003</v>
      </c>
      <c r="D214" s="32">
        <f t="shared" si="3"/>
        <v>0.20269999999999999</v>
      </c>
    </row>
    <row r="215" spans="1:8" ht="16">
      <c r="A215" s="2">
        <v>45616</v>
      </c>
      <c r="B215" s="5">
        <v>0.20055899999999999</v>
      </c>
      <c r="C215" s="32">
        <v>0.60167700000000002</v>
      </c>
      <c r="D215" s="32">
        <f t="shared" si="3"/>
        <v>0.19776400000000005</v>
      </c>
    </row>
    <row r="216" spans="1:8" ht="16">
      <c r="A216" s="2">
        <v>45617</v>
      </c>
      <c r="B216" s="5">
        <v>0.20025699999999999</v>
      </c>
      <c r="C216" s="32">
        <v>0.60077099999999994</v>
      </c>
      <c r="D216" s="32">
        <f t="shared" si="3"/>
        <v>0.19897200000000004</v>
      </c>
      <c r="H216" s="14"/>
    </row>
    <row r="217" spans="1:8" ht="16">
      <c r="A217" s="2">
        <v>45618</v>
      </c>
      <c r="B217" s="5">
        <v>0.19653999999999999</v>
      </c>
      <c r="C217" s="32">
        <v>0.58962000000000003</v>
      </c>
      <c r="D217" s="32">
        <f t="shared" si="3"/>
        <v>0.21384000000000003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E2CB-8C16-46A6-8416-DB21D6D8AB13}">
  <sheetPr codeName="Sheet5"/>
  <dimension ref="A1:G33"/>
  <sheetViews>
    <sheetView workbookViewId="0"/>
  </sheetViews>
  <sheetFormatPr baseColWidth="10" defaultColWidth="8.83203125" defaultRowHeight="15"/>
  <cols>
    <col min="1" max="1" width="11.33203125" bestFit="1" customWidth="1"/>
    <col min="2" max="5" width="8" bestFit="1" customWidth="1"/>
    <col min="6" max="6" width="8.1640625" bestFit="1" customWidth="1"/>
    <col min="7" max="7" width="8" bestFit="1" customWidth="1"/>
  </cols>
  <sheetData>
    <row r="1" spans="1:7" ht="34">
      <c r="A1" s="8" t="s">
        <v>11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</row>
    <row r="2" spans="1:7" ht="16">
      <c r="A2" s="6" t="s">
        <v>19</v>
      </c>
      <c r="B2" s="7">
        <v>2.9219269376054871</v>
      </c>
      <c r="C2" s="7">
        <v>3.8003823307106814</v>
      </c>
      <c r="D2" s="7">
        <v>2.9488889760549797</v>
      </c>
      <c r="E2" s="7">
        <v>2.9488889760549797</v>
      </c>
      <c r="F2" s="7">
        <f t="shared" ref="F2:F33" si="0">AVERAGE(B2:E2)</f>
        <v>3.1550218051065317</v>
      </c>
      <c r="G2" s="7">
        <v>23.210742930983972</v>
      </c>
    </row>
    <row r="3" spans="1:7" ht="16">
      <c r="A3" s="6" t="s">
        <v>41</v>
      </c>
      <c r="B3" s="7">
        <v>0.94899096635772873</v>
      </c>
      <c r="C3" s="7">
        <v>4.2791575600160359</v>
      </c>
      <c r="D3" s="7">
        <v>3.0075228865928429</v>
      </c>
      <c r="E3" s="7">
        <v>3.0075228865928429</v>
      </c>
      <c r="F3" s="7">
        <f t="shared" si="0"/>
        <v>2.810798574889863</v>
      </c>
      <c r="G3" s="7">
        <v>26.134851034352451</v>
      </c>
    </row>
    <row r="4" spans="1:7" ht="16">
      <c r="A4" s="6" t="s">
        <v>40</v>
      </c>
      <c r="B4" s="7">
        <v>2.8502884776311568</v>
      </c>
      <c r="C4" s="7">
        <v>2.2933359037067027</v>
      </c>
      <c r="D4" s="7">
        <v>1.8527271228951632</v>
      </c>
      <c r="E4" s="7">
        <v>1.8527271228951632</v>
      </c>
      <c r="F4" s="7">
        <f t="shared" si="0"/>
        <v>2.2122696567820466</v>
      </c>
      <c r="G4" s="7">
        <v>14.006493421775785</v>
      </c>
    </row>
    <row r="5" spans="1:7" ht="16">
      <c r="A5" s="6" t="s">
        <v>29</v>
      </c>
      <c r="B5" s="7">
        <v>0.5409283138316332</v>
      </c>
      <c r="C5" s="7">
        <v>1.9806075942085448</v>
      </c>
      <c r="D5" s="7">
        <v>1.4694736387719352</v>
      </c>
      <c r="E5" s="7">
        <v>1.4694736387719352</v>
      </c>
      <c r="F5" s="7">
        <f t="shared" si="0"/>
        <v>1.3651207963960121</v>
      </c>
      <c r="G5" s="7">
        <v>12.096512854729641</v>
      </c>
    </row>
    <row r="6" spans="1:7" ht="16">
      <c r="A6" s="6" t="s">
        <v>36</v>
      </c>
      <c r="B6" s="7">
        <v>0.8714416656378825</v>
      </c>
      <c r="C6" s="7">
        <v>1.2079135614939975</v>
      </c>
      <c r="D6" s="7">
        <v>0.92543227821110319</v>
      </c>
      <c r="E6" s="7">
        <v>0.92543227821110319</v>
      </c>
      <c r="F6" s="7">
        <f t="shared" si="0"/>
        <v>0.98255494588852166</v>
      </c>
      <c r="G6" s="7">
        <v>7.377302786649774</v>
      </c>
    </row>
    <row r="7" spans="1:7" ht="16">
      <c r="A7" s="6" t="s">
        <v>28</v>
      </c>
      <c r="B7" s="7">
        <v>0.45375193642814732</v>
      </c>
      <c r="C7" s="7">
        <v>1.508442211990304</v>
      </c>
      <c r="D7" s="7">
        <v>0.93501108979278102</v>
      </c>
      <c r="E7" s="7">
        <v>0.93501108979278102</v>
      </c>
      <c r="F7" s="7">
        <f t="shared" si="0"/>
        <v>0.95805408200100339</v>
      </c>
      <c r="G7" s="7">
        <v>9.2127742321663799</v>
      </c>
    </row>
    <row r="8" spans="1:7" ht="16">
      <c r="A8" s="6" t="s">
        <v>17</v>
      </c>
      <c r="B8" s="7">
        <v>1.0332152020383765</v>
      </c>
      <c r="C8" s="7">
        <v>4.4356546703192209E-2</v>
      </c>
      <c r="D8" s="7">
        <v>0.17440307628016963</v>
      </c>
      <c r="E8" s="7">
        <v>0.17440307628016963</v>
      </c>
      <c r="F8" s="7">
        <f t="shared" si="0"/>
        <v>0.35659447532547695</v>
      </c>
      <c r="G8" s="7">
        <v>0.2709065334069824</v>
      </c>
    </row>
    <row r="9" spans="1:7" ht="16">
      <c r="A9" s="6" t="s">
        <v>21</v>
      </c>
      <c r="B9" s="7">
        <v>0.18021681384134908</v>
      </c>
      <c r="C9" s="7">
        <v>0.30414119068426038</v>
      </c>
      <c r="D9" s="7">
        <v>0.20274788293307452</v>
      </c>
      <c r="E9" s="7">
        <v>0.20274788293307452</v>
      </c>
      <c r="F9" s="7">
        <f t="shared" si="0"/>
        <v>0.22246344259793963</v>
      </c>
      <c r="G9" s="7">
        <v>1.8575349471156046</v>
      </c>
    </row>
    <row r="10" spans="1:7" ht="16">
      <c r="A10" s="6" t="s">
        <v>38</v>
      </c>
      <c r="B10" s="7">
        <v>0.31632632620519846</v>
      </c>
      <c r="C10" s="7">
        <v>8.0538304319624068E-2</v>
      </c>
      <c r="D10" s="7">
        <v>0.13439707537632042</v>
      </c>
      <c r="E10" s="7">
        <v>0.13439707537632042</v>
      </c>
      <c r="F10" s="7">
        <f t="shared" si="0"/>
        <v>0.16641469531936584</v>
      </c>
      <c r="G10" s="7">
        <v>0.49188574069350971</v>
      </c>
    </row>
    <row r="11" spans="1:7" ht="16">
      <c r="A11" s="6" t="s">
        <v>18</v>
      </c>
      <c r="B11" s="7">
        <v>0</v>
      </c>
      <c r="C11" s="7">
        <v>0.22703939505572124</v>
      </c>
      <c r="D11" s="7">
        <v>0.1427693458735709</v>
      </c>
      <c r="E11" s="7">
        <v>0.1427693458735709</v>
      </c>
      <c r="F11" s="7">
        <f t="shared" si="0"/>
        <v>0.12814452170071577</v>
      </c>
      <c r="G11" s="7">
        <v>1.3866375999224796</v>
      </c>
    </row>
    <row r="12" spans="1:7" ht="16">
      <c r="A12" s="6" t="s">
        <v>32</v>
      </c>
      <c r="B12" s="7">
        <v>8.9162122181803433E-3</v>
      </c>
      <c r="C12" s="7">
        <v>0.41979128718140474</v>
      </c>
      <c r="D12" s="7">
        <v>1.2081541117834327E-2</v>
      </c>
      <c r="E12" s="7">
        <v>1.2081541117834327E-2</v>
      </c>
      <c r="F12" s="7">
        <f t="shared" si="0"/>
        <v>0.11321764540881343</v>
      </c>
      <c r="G12" s="7">
        <v>2.5638651071226195</v>
      </c>
    </row>
    <row r="13" spans="1:7" ht="16">
      <c r="A13" s="6" t="s">
        <v>20</v>
      </c>
      <c r="B13" s="7">
        <v>4.2066635847656395E-2</v>
      </c>
      <c r="C13" s="7">
        <v>0.12158056097251677</v>
      </c>
      <c r="D13" s="7">
        <v>9.102650337193316E-2</v>
      </c>
      <c r="E13" s="7">
        <v>9.102650337193316E-2</v>
      </c>
      <c r="F13" s="7">
        <f t="shared" si="0"/>
        <v>8.642505089100988E-2</v>
      </c>
      <c r="G13" s="7">
        <v>0.74255032798507736</v>
      </c>
    </row>
    <row r="14" spans="1:7" ht="16">
      <c r="A14" s="6" t="s">
        <v>14</v>
      </c>
      <c r="B14" s="7">
        <v>0.16188812036366282</v>
      </c>
      <c r="C14" s="7">
        <v>1.558111592699462E-2</v>
      </c>
      <c r="D14" s="7">
        <v>3.8401025279353733E-2</v>
      </c>
      <c r="E14" s="7">
        <v>3.8401025279353733E-2</v>
      </c>
      <c r="F14" s="7">
        <f t="shared" si="0"/>
        <v>6.3567821712341224E-2</v>
      </c>
      <c r="G14" s="7">
        <v>9.5161287704361774E-2</v>
      </c>
    </row>
    <row r="15" spans="1:7" ht="16">
      <c r="A15" s="6" t="s">
        <v>22</v>
      </c>
      <c r="B15" s="7">
        <v>7.5791184427168257E-2</v>
      </c>
      <c r="C15" s="7">
        <v>4.8864272571995195E-2</v>
      </c>
      <c r="D15" s="7">
        <v>2.7098474381490548E-2</v>
      </c>
      <c r="E15" s="7">
        <v>2.7098474381490548E-2</v>
      </c>
      <c r="F15" s="7">
        <f t="shared" si="0"/>
        <v>4.4713101440536134E-2</v>
      </c>
      <c r="G15" s="7">
        <v>0.29843735984479686</v>
      </c>
    </row>
    <row r="16" spans="1:7" ht="16">
      <c r="A16" s="6" t="s">
        <v>15</v>
      </c>
      <c r="B16" s="7">
        <v>7.9592671786255828E-2</v>
      </c>
      <c r="C16" s="7">
        <v>0</v>
      </c>
      <c r="D16" s="7">
        <v>9.9885112542025846E-3</v>
      </c>
      <c r="E16" s="7">
        <v>9.9885112542025846E-3</v>
      </c>
      <c r="F16" s="7">
        <f t="shared" si="0"/>
        <v>2.4892423573665248E-2</v>
      </c>
      <c r="G16" s="7">
        <v>0</v>
      </c>
    </row>
    <row r="17" spans="1:7" ht="16">
      <c r="A17" s="6" t="s">
        <v>13</v>
      </c>
      <c r="B17" s="7">
        <v>6.4778412161838203E-2</v>
      </c>
      <c r="C17" s="7">
        <v>7.2651616756109723E-4</v>
      </c>
      <c r="D17" s="7">
        <v>3.2503770243638322E-3</v>
      </c>
      <c r="E17" s="7">
        <v>3.2503770243638322E-3</v>
      </c>
      <c r="F17" s="7">
        <f t="shared" si="0"/>
        <v>1.800142059453174E-2</v>
      </c>
      <c r="G17" s="7">
        <v>4.4371798764022991E-3</v>
      </c>
    </row>
    <row r="18" spans="1:7" ht="16">
      <c r="A18" s="6" t="s">
        <v>24</v>
      </c>
      <c r="B18" s="7">
        <v>1.6323234400001344E-2</v>
      </c>
      <c r="C18" s="7">
        <v>9.2665582395527069E-3</v>
      </c>
      <c r="D18" s="7">
        <v>5.9663185922883234E-3</v>
      </c>
      <c r="E18" s="7">
        <v>5.9663185922883234E-3</v>
      </c>
      <c r="F18" s="7">
        <f t="shared" si="0"/>
        <v>9.3806074560326726E-3</v>
      </c>
      <c r="G18" s="7">
        <v>5.6595279747295335E-2</v>
      </c>
    </row>
    <row r="19" spans="1:7" ht="16">
      <c r="A19" s="6" t="s">
        <v>31</v>
      </c>
      <c r="B19" s="7">
        <v>3.77916220743404E-3</v>
      </c>
      <c r="C19" s="7">
        <v>2.6643159696824823E-2</v>
      </c>
      <c r="D19" s="7">
        <v>8.1499310332352245E-4</v>
      </c>
      <c r="E19" s="7">
        <v>8.1499310332352245E-4</v>
      </c>
      <c r="F19" s="7">
        <f t="shared" si="0"/>
        <v>8.0130770277264778E-3</v>
      </c>
      <c r="G19" s="7">
        <v>0.16272245178987294</v>
      </c>
    </row>
    <row r="20" spans="1:7" ht="16">
      <c r="A20" s="6" t="s">
        <v>26</v>
      </c>
      <c r="B20" s="7">
        <v>0</v>
      </c>
      <c r="C20" s="7">
        <v>0</v>
      </c>
      <c r="D20" s="7">
        <v>1.4198270854795948E-2</v>
      </c>
      <c r="E20" s="7">
        <v>1.4198270854795948E-2</v>
      </c>
      <c r="F20" s="7">
        <f t="shared" si="0"/>
        <v>7.0991354273979741E-3</v>
      </c>
      <c r="G20" s="7">
        <v>0</v>
      </c>
    </row>
    <row r="21" spans="1:7" ht="16">
      <c r="A21" s="6" t="s">
        <v>39</v>
      </c>
      <c r="B21" s="7">
        <v>1.3361357019356543E-2</v>
      </c>
      <c r="C21" s="7">
        <v>1.7111691007023297E-3</v>
      </c>
      <c r="D21" s="7">
        <v>1.7508235843556052E-3</v>
      </c>
      <c r="E21" s="7">
        <v>1.7508235843556052E-3</v>
      </c>
      <c r="F21" s="7">
        <f t="shared" si="0"/>
        <v>4.6435433221925209E-3</v>
      </c>
      <c r="G21" s="7">
        <v>1.0450923789138216E-2</v>
      </c>
    </row>
    <row r="22" spans="1:7" ht="16">
      <c r="A22" s="6" t="s">
        <v>23</v>
      </c>
      <c r="B22" s="7">
        <v>9.3338458458658135E-3</v>
      </c>
      <c r="C22" s="7">
        <v>1.8081596147813638E-3</v>
      </c>
      <c r="D22" s="7">
        <v>2.2082713475139646E-3</v>
      </c>
      <c r="E22" s="7">
        <v>2.2082713475139646E-3</v>
      </c>
      <c r="F22" s="7">
        <f t="shared" si="0"/>
        <v>3.8896370389187767E-3</v>
      </c>
      <c r="G22" s="7">
        <v>1.1043291001994785E-2</v>
      </c>
    </row>
    <row r="23" spans="1:7" ht="16">
      <c r="A23" s="6" t="s">
        <v>37</v>
      </c>
      <c r="B23" s="7">
        <v>1.090573058312508E-2</v>
      </c>
      <c r="C23" s="7">
        <v>0</v>
      </c>
      <c r="D23" s="7">
        <v>1.8020443850967098E-3</v>
      </c>
      <c r="E23" s="7">
        <v>1.8020443850967098E-3</v>
      </c>
      <c r="F23" s="7">
        <f t="shared" si="0"/>
        <v>3.6274548383296249E-3</v>
      </c>
      <c r="G23" s="7">
        <v>0</v>
      </c>
    </row>
    <row r="24" spans="1:7" ht="16">
      <c r="A24" s="6" t="s">
        <v>27</v>
      </c>
      <c r="B24" s="7">
        <v>4.7296053931069433E-3</v>
      </c>
      <c r="C24" s="7">
        <v>0</v>
      </c>
      <c r="D24" s="7">
        <v>1.7971884817064745E-3</v>
      </c>
      <c r="E24" s="7">
        <v>1.7971884817064745E-3</v>
      </c>
      <c r="F24" s="7">
        <f t="shared" si="0"/>
        <v>2.0809955891299731E-3</v>
      </c>
      <c r="G24" s="7">
        <v>0</v>
      </c>
    </row>
    <row r="25" spans="1:7" ht="16">
      <c r="A25" s="6" t="s">
        <v>34</v>
      </c>
      <c r="B25" s="7">
        <v>3.5427031377035646E-3</v>
      </c>
      <c r="C25" s="7">
        <v>0</v>
      </c>
      <c r="D25" s="7">
        <v>7.6379213461933468E-4</v>
      </c>
      <c r="E25" s="7">
        <v>7.6379213461933468E-4</v>
      </c>
      <c r="F25" s="7">
        <f t="shared" si="0"/>
        <v>1.2675718517355585E-3</v>
      </c>
      <c r="G25" s="7">
        <v>0</v>
      </c>
    </row>
    <row r="26" spans="1:7" ht="16">
      <c r="A26" s="6" t="s">
        <v>33</v>
      </c>
      <c r="B26" s="7">
        <v>1.5153461683894433E-3</v>
      </c>
      <c r="C26" s="7">
        <v>1.4891110029760144E-3</v>
      </c>
      <c r="D26" s="7">
        <v>7.3065225487513959E-4</v>
      </c>
      <c r="E26" s="7">
        <v>7.3065225487513959E-4</v>
      </c>
      <c r="F26" s="7">
        <f t="shared" si="0"/>
        <v>1.1164404202789343E-3</v>
      </c>
      <c r="G26" s="7">
        <v>9.0947093418657522E-3</v>
      </c>
    </row>
    <row r="27" spans="1:7" ht="16">
      <c r="A27" s="6" t="s">
        <v>25</v>
      </c>
      <c r="B27" s="7">
        <v>3.4161787245413451E-3</v>
      </c>
      <c r="C27" s="7">
        <v>0</v>
      </c>
      <c r="D27" s="7">
        <v>4.0628691765813422E-4</v>
      </c>
      <c r="E27" s="7">
        <v>4.0628691765813422E-4</v>
      </c>
      <c r="F27" s="7">
        <f t="shared" si="0"/>
        <v>1.0571881399644033E-3</v>
      </c>
      <c r="G27" s="7">
        <v>0</v>
      </c>
    </row>
    <row r="28" spans="1:7" ht="16">
      <c r="A28" s="6" t="s">
        <v>30</v>
      </c>
      <c r="B28" s="7">
        <v>2.7302698321830785E-3</v>
      </c>
      <c r="C28" s="7">
        <v>0</v>
      </c>
      <c r="D28" s="7">
        <v>4.2934792254112938E-4</v>
      </c>
      <c r="E28" s="7">
        <v>4.2934792254112938E-4</v>
      </c>
      <c r="F28" s="7">
        <f t="shared" si="0"/>
        <v>8.9724141931633438E-4</v>
      </c>
      <c r="G28" s="7">
        <v>0</v>
      </c>
    </row>
    <row r="29" spans="1:7" ht="16">
      <c r="A29" s="6" t="s">
        <v>35</v>
      </c>
      <c r="B29" s="7">
        <v>6.1779842603530547E-4</v>
      </c>
      <c r="C29" s="7">
        <v>0</v>
      </c>
      <c r="D29" s="7">
        <v>2.4682588384532093E-4</v>
      </c>
      <c r="E29" s="7">
        <v>2.4682588384532093E-4</v>
      </c>
      <c r="F29" s="7">
        <f t="shared" si="0"/>
        <v>2.7786254843148683E-4</v>
      </c>
      <c r="G29" s="7">
        <v>0</v>
      </c>
    </row>
    <row r="30" spans="1:7" ht="16">
      <c r="A30" s="6" t="s">
        <v>12</v>
      </c>
      <c r="B30" s="7">
        <v>0</v>
      </c>
      <c r="C30" s="7">
        <v>0</v>
      </c>
      <c r="D30" s="7">
        <v>0</v>
      </c>
      <c r="E30" s="7">
        <v>0</v>
      </c>
      <c r="F30" s="7">
        <f t="shared" si="0"/>
        <v>0</v>
      </c>
      <c r="G30" s="7">
        <v>0</v>
      </c>
    </row>
    <row r="31" spans="1:7" ht="16">
      <c r="A31" s="6" t="s">
        <v>16</v>
      </c>
      <c r="B31" s="7">
        <v>0</v>
      </c>
      <c r="C31" s="7">
        <v>0</v>
      </c>
      <c r="D31" s="7">
        <v>0</v>
      </c>
      <c r="E31" s="7">
        <v>0</v>
      </c>
      <c r="F31" s="7">
        <f t="shared" si="0"/>
        <v>0</v>
      </c>
      <c r="G31" s="7">
        <v>0</v>
      </c>
    </row>
    <row r="32" spans="1:7" ht="16">
      <c r="A32" s="6" t="s">
        <v>42</v>
      </c>
      <c r="B32" s="7">
        <v>0</v>
      </c>
      <c r="C32" s="7">
        <v>0</v>
      </c>
      <c r="D32" s="7">
        <v>0</v>
      </c>
      <c r="E32" s="7">
        <v>0</v>
      </c>
      <c r="F32" s="7">
        <f t="shared" si="0"/>
        <v>0</v>
      </c>
      <c r="G32" s="7">
        <v>0</v>
      </c>
    </row>
    <row r="33" spans="1:7" ht="16">
      <c r="A33" s="6" t="s">
        <v>43</v>
      </c>
      <c r="B33" s="7">
        <v>0</v>
      </c>
      <c r="C33" s="7">
        <v>0</v>
      </c>
      <c r="D33" s="7">
        <v>0</v>
      </c>
      <c r="E33" s="7">
        <v>0</v>
      </c>
      <c r="F33" s="7">
        <f t="shared" si="0"/>
        <v>0</v>
      </c>
      <c r="G33" s="7">
        <v>0</v>
      </c>
    </row>
  </sheetData>
  <autoFilter ref="A1:G1" xr:uid="{A151E2CB-8C16-46A6-8416-DB21D6D8AB13}">
    <sortState xmlns:xlrd2="http://schemas.microsoft.com/office/spreadsheetml/2017/richdata2" ref="A2:G33">
      <sortCondition descending="1" ref="F1"/>
    </sortState>
  </autoFilter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133C-B96E-4F39-B1D7-2DE54BF92625}">
  <sheetPr codeName="Sheet6"/>
  <dimension ref="A1:M6"/>
  <sheetViews>
    <sheetView workbookViewId="0">
      <selection activeCell="K40" sqref="K40"/>
    </sheetView>
  </sheetViews>
  <sheetFormatPr baseColWidth="10" defaultColWidth="16.83203125" defaultRowHeight="15"/>
  <sheetData>
    <row r="1" spans="1:13" ht="17">
      <c r="A1" s="8" t="s">
        <v>45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131</v>
      </c>
      <c r="G1" s="8" t="s">
        <v>132</v>
      </c>
      <c r="H1" s="8" t="s">
        <v>133</v>
      </c>
      <c r="I1" s="8" t="s">
        <v>134</v>
      </c>
      <c r="J1" s="8" t="s">
        <v>135</v>
      </c>
      <c r="K1" s="8" t="s">
        <v>136</v>
      </c>
      <c r="L1" s="8" t="s">
        <v>137</v>
      </c>
      <c r="M1" s="8" t="s">
        <v>138</v>
      </c>
    </row>
    <row r="2" spans="1:13" ht="16">
      <c r="A2" s="6" t="s">
        <v>130</v>
      </c>
      <c r="B2" s="7">
        <v>-0.34965649579009889</v>
      </c>
      <c r="C2" s="7">
        <v>-0.34965649579009889</v>
      </c>
      <c r="D2" s="7">
        <v>-0.34965649579009889</v>
      </c>
      <c r="E2" s="7">
        <v>-0.34965649579009889</v>
      </c>
      <c r="F2" s="7">
        <v>5</v>
      </c>
      <c r="G2" s="7">
        <v>10.620375108119465</v>
      </c>
      <c r="H2" s="7">
        <v>18.968608256493503</v>
      </c>
      <c r="I2" s="7">
        <v>12.266901605148096</v>
      </c>
      <c r="J2" s="7">
        <v>5</v>
      </c>
      <c r="K2" s="7">
        <v>10.620375108119465</v>
      </c>
      <c r="L2" s="7">
        <v>18.968608256493503</v>
      </c>
      <c r="M2" s="7">
        <v>12.266901605148096</v>
      </c>
    </row>
    <row r="3" spans="1:13" ht="16">
      <c r="A3" s="6" t="s">
        <v>127</v>
      </c>
      <c r="B3" s="7">
        <v>3.1280033905931988</v>
      </c>
      <c r="C3" s="7">
        <v>3.1280033905931988</v>
      </c>
      <c r="D3" s="7">
        <v>3.1280033905931988</v>
      </c>
      <c r="E3" s="7">
        <v>3.1280033905931988</v>
      </c>
      <c r="F3" s="7">
        <v>5.9153573037165001</v>
      </c>
      <c r="G3" s="7">
        <v>60.77312255133986</v>
      </c>
      <c r="H3" s="7">
        <v>39.01048470704616</v>
      </c>
      <c r="I3" s="7">
        <v>52.879365184380944</v>
      </c>
      <c r="J3" s="7">
        <v>5.9153573037165001</v>
      </c>
      <c r="K3" s="7">
        <v>60.77312255133986</v>
      </c>
      <c r="L3" s="7">
        <v>39.01048470704616</v>
      </c>
      <c r="M3" s="7">
        <v>52.879365184380944</v>
      </c>
    </row>
    <row r="4" spans="1:13" ht="16">
      <c r="A4" s="6" t="s">
        <v>128</v>
      </c>
      <c r="B4" s="7">
        <v>0.99571860834878467</v>
      </c>
      <c r="C4" s="7">
        <v>0.99571860834878467</v>
      </c>
      <c r="D4" s="7">
        <v>0.99571860834878467</v>
      </c>
      <c r="E4" s="7">
        <v>0.99571860834878467</v>
      </c>
      <c r="F4" s="7">
        <v>2.9501078707790049</v>
      </c>
      <c r="G4" s="7">
        <v>27.755962105279373</v>
      </c>
      <c r="H4" s="7">
        <v>41.266935455907621</v>
      </c>
      <c r="I4" s="7">
        <v>33.751938978619634</v>
      </c>
      <c r="J4" s="7">
        <v>2.9501078707790049</v>
      </c>
      <c r="K4" s="7">
        <v>27.755962105279373</v>
      </c>
      <c r="L4" s="7">
        <v>41.266935455907621</v>
      </c>
      <c r="M4" s="7">
        <v>33.751938978619634</v>
      </c>
    </row>
    <row r="5" spans="1:13" ht="16">
      <c r="A5" s="6" t="s">
        <v>129</v>
      </c>
      <c r="B5" s="7">
        <v>3.7941465588655042E-2</v>
      </c>
      <c r="C5" s="7">
        <v>3.7941465588655042E-2</v>
      </c>
      <c r="D5" s="7">
        <v>3.7941465588655042E-2</v>
      </c>
      <c r="E5" s="7">
        <v>3.7941465588655042E-2</v>
      </c>
      <c r="F5" s="7">
        <v>1.0893104024469564</v>
      </c>
      <c r="G5" s="7">
        <v>1.8131960810972723</v>
      </c>
      <c r="H5" s="7">
        <v>2.8178574304809882</v>
      </c>
      <c r="I5" s="7">
        <v>3.4830719970566504</v>
      </c>
      <c r="J5" s="7">
        <v>1.0893104024469564</v>
      </c>
      <c r="K5" s="7">
        <v>1.8131960810972723</v>
      </c>
      <c r="L5" s="7">
        <v>2.8178574304809882</v>
      </c>
      <c r="M5" s="7">
        <v>3.4830719970566504</v>
      </c>
    </row>
    <row r="6" spans="1:13" ht="16">
      <c r="A6" s="6" t="s">
        <v>96</v>
      </c>
      <c r="B6" s="7">
        <v>-0.17230340378673728</v>
      </c>
      <c r="C6" s="7">
        <v>-0.17230340378673728</v>
      </c>
      <c r="D6" s="7">
        <v>-0.17230340378673728</v>
      </c>
      <c r="E6" s="7">
        <v>-0.17230340378673728</v>
      </c>
      <c r="F6" s="7">
        <v>-2.5542391013266754</v>
      </c>
      <c r="G6" s="7">
        <v>-9.5071636559697321</v>
      </c>
      <c r="H6" s="7">
        <v>-4.9222769350915589</v>
      </c>
      <c r="I6" s="7">
        <v>-6.7457820881859751</v>
      </c>
      <c r="J6" s="7">
        <v>-2.5542391013266754</v>
      </c>
      <c r="K6" s="7">
        <v>-9.5071636559697321</v>
      </c>
      <c r="L6" s="7">
        <v>-4.9222769350915589</v>
      </c>
      <c r="M6" s="7">
        <v>-6.7457820881859751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F1B5-1CA7-4958-87A4-9B1EEE653F99}">
  <sheetPr codeName="Sheet61"/>
  <dimension ref="A1:K44"/>
  <sheetViews>
    <sheetView workbookViewId="0">
      <selection activeCell="B5" sqref="A5:XFD11"/>
    </sheetView>
  </sheetViews>
  <sheetFormatPr baseColWidth="10" defaultColWidth="16.83203125" defaultRowHeight="15"/>
  <sheetData>
    <row r="1" spans="1:11">
      <c r="A1" s="37" t="s">
        <v>44</v>
      </c>
      <c r="B1" s="37" t="s">
        <v>45</v>
      </c>
      <c r="C1" s="37" t="s">
        <v>46</v>
      </c>
      <c r="D1" s="37" t="s">
        <v>47</v>
      </c>
      <c r="E1" s="37" t="s">
        <v>48</v>
      </c>
      <c r="F1" s="38"/>
      <c r="G1" s="39"/>
      <c r="H1" s="37" t="s">
        <v>49</v>
      </c>
      <c r="I1" s="37" t="s">
        <v>50</v>
      </c>
      <c r="J1" s="38"/>
      <c r="K1" s="39"/>
    </row>
    <row r="2" spans="1:11" ht="17">
      <c r="A2" s="35"/>
      <c r="B2" s="35"/>
      <c r="C2" s="36"/>
      <c r="D2" s="36"/>
      <c r="E2" s="8" t="s">
        <v>51</v>
      </c>
      <c r="F2" s="8" t="s">
        <v>52</v>
      </c>
      <c r="G2" s="8" t="s">
        <v>53</v>
      </c>
      <c r="H2" s="36"/>
      <c r="I2" s="8" t="s">
        <v>51</v>
      </c>
      <c r="J2" s="8" t="s">
        <v>52</v>
      </c>
      <c r="K2" s="8" t="s">
        <v>53</v>
      </c>
    </row>
    <row r="3" spans="1:11" ht="17">
      <c r="A3" s="36"/>
      <c r="B3" s="36"/>
      <c r="C3" s="8" t="s">
        <v>112</v>
      </c>
      <c r="D3" s="8" t="s">
        <v>112</v>
      </c>
      <c r="E3" s="8" t="s">
        <v>112</v>
      </c>
      <c r="F3" s="8" t="s">
        <v>112</v>
      </c>
      <c r="G3" s="8" t="s">
        <v>112</v>
      </c>
      <c r="H3" s="8" t="s">
        <v>112</v>
      </c>
      <c r="I3" s="8" t="s">
        <v>112</v>
      </c>
      <c r="J3" s="8" t="s">
        <v>112</v>
      </c>
      <c r="K3" s="8" t="s">
        <v>112</v>
      </c>
    </row>
    <row r="4" spans="1:11" ht="16">
      <c r="A4" s="40" t="s">
        <v>54</v>
      </c>
      <c r="B4" s="6" t="s">
        <v>55</v>
      </c>
      <c r="C4" s="7">
        <v>-0.34965649579009889</v>
      </c>
      <c r="D4" s="7">
        <v>-2.850405970839101</v>
      </c>
      <c r="E4" s="7">
        <v>10.620375108119465</v>
      </c>
      <c r="F4" s="7">
        <v>18.968608256493503</v>
      </c>
      <c r="G4" s="7">
        <v>12.266901605148096</v>
      </c>
      <c r="H4" s="7">
        <v>-2008012.4143076916</v>
      </c>
      <c r="I4" s="7">
        <v>65125172.490000002</v>
      </c>
      <c r="J4" s="7">
        <v>207001003.28</v>
      </c>
      <c r="K4" s="7">
        <v>106192599.95514025</v>
      </c>
    </row>
    <row r="5" spans="1:11" ht="16">
      <c r="A5" s="41"/>
      <c r="B5" s="6" t="s">
        <v>56</v>
      </c>
      <c r="C5" s="7">
        <v>-0.1702005304965605</v>
      </c>
      <c r="D5" s="7">
        <v>-1.4174151056777777</v>
      </c>
      <c r="E5" s="7">
        <v>10.620375108119465</v>
      </c>
      <c r="F5" s="7">
        <v>16.373376509364373</v>
      </c>
      <c r="G5" s="7">
        <v>12.007811248432706</v>
      </c>
      <c r="H5" s="7">
        <v>-977430.08430769166</v>
      </c>
      <c r="I5" s="7">
        <v>65125172.490000002</v>
      </c>
      <c r="J5" s="7">
        <v>178679706.94999999</v>
      </c>
      <c r="K5" s="7">
        <v>103372942.52887113</v>
      </c>
    </row>
    <row r="6" spans="1:11" ht="16">
      <c r="A6" s="41"/>
      <c r="B6" s="6" t="s">
        <v>57</v>
      </c>
      <c r="C6" s="7">
        <v>0.45041717852719548</v>
      </c>
      <c r="D6" s="7">
        <v>1355.8730135251608</v>
      </c>
      <c r="E6" s="7">
        <v>0.25788945246257289</v>
      </c>
      <c r="F6" s="7">
        <v>1.006931318106743E-3</v>
      </c>
      <c r="G6" s="7">
        <v>3.3219717040915725E-2</v>
      </c>
      <c r="H6" s="7">
        <v>2586662.33</v>
      </c>
      <c r="I6" s="7">
        <v>1581403.19</v>
      </c>
      <c r="J6" s="7">
        <v>10988.46</v>
      </c>
      <c r="K6" s="7">
        <v>213014.88672782874</v>
      </c>
    </row>
    <row r="7" spans="1:11" ht="16">
      <c r="A7" s="41"/>
      <c r="B7" s="6" t="s">
        <v>58</v>
      </c>
      <c r="C7" s="7">
        <v>-0.18967220498017548</v>
      </c>
      <c r="D7" s="7">
        <v>-74.091589614551467</v>
      </c>
      <c r="E7" s="7">
        <v>0</v>
      </c>
      <c r="F7" s="7">
        <v>2.391889753417793</v>
      </c>
      <c r="G7" s="7">
        <v>0.25599694373803006</v>
      </c>
      <c r="H7" s="7">
        <v>-1089252.3</v>
      </c>
      <c r="I7" s="7">
        <v>0</v>
      </c>
      <c r="J7" s="7">
        <v>26102261.800000001</v>
      </c>
      <c r="K7" s="7">
        <v>2785814.1370030581</v>
      </c>
    </row>
    <row r="8" spans="1:11" ht="16">
      <c r="A8" s="41"/>
      <c r="B8" s="6" t="s">
        <v>59</v>
      </c>
      <c r="C8" s="7">
        <v>5.2953076741550018E-3</v>
      </c>
      <c r="D8" s="7">
        <v>171.18010795546499</v>
      </c>
      <c r="E8" s="7">
        <v>0</v>
      </c>
      <c r="F8" s="7">
        <v>0.20334199371133688</v>
      </c>
      <c r="G8" s="7">
        <v>3.0934129773610461E-3</v>
      </c>
      <c r="H8" s="7">
        <v>30409.97</v>
      </c>
      <c r="I8" s="7">
        <v>0</v>
      </c>
      <c r="J8" s="7">
        <v>2219034.5299999998</v>
      </c>
      <c r="K8" s="7">
        <v>33843.289266055042</v>
      </c>
    </row>
    <row r="9" spans="1:11" ht="16">
      <c r="A9" s="41"/>
      <c r="B9" s="6" t="s">
        <v>60</v>
      </c>
      <c r="C9" s="7">
        <v>4.9209320124821024E-3</v>
      </c>
      <c r="D9" s="7">
        <v>0</v>
      </c>
      <c r="E9" s="7">
        <v>-0.45764440897249459</v>
      </c>
      <c r="F9" s="7">
        <v>0</v>
      </c>
      <c r="G9" s="7">
        <v>-5.0255922415640947E-2</v>
      </c>
      <c r="H9" s="7">
        <v>28260</v>
      </c>
      <c r="I9" s="7">
        <v>-2806320</v>
      </c>
      <c r="J9" s="7">
        <v>0</v>
      </c>
      <c r="K9" s="7">
        <v>-306940.91743119265</v>
      </c>
    </row>
    <row r="10" spans="1:11" ht="16">
      <c r="A10" s="41"/>
      <c r="B10" s="6" t="s">
        <v>61</v>
      </c>
      <c r="C10" s="7">
        <v>-3.730251043944563E-2</v>
      </c>
      <c r="D10" s="7">
        <v>-113.09345627728122</v>
      </c>
      <c r="E10" s="7">
        <v>0</v>
      </c>
      <c r="F10" s="7">
        <v>0.57686633976992074</v>
      </c>
      <c r="G10" s="7">
        <v>3.2983792048929664E-2</v>
      </c>
      <c r="H10" s="7">
        <v>-214221.4</v>
      </c>
      <c r="I10" s="7">
        <v>0</v>
      </c>
      <c r="J10" s="7">
        <v>6295238.4000000004</v>
      </c>
      <c r="K10" s="7">
        <v>360801.65626911313</v>
      </c>
    </row>
    <row r="11" spans="1:11" ht="16">
      <c r="A11" s="42"/>
      <c r="B11" s="6" t="s">
        <v>62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</row>
    <row r="12" spans="1:11" ht="16">
      <c r="A12" s="34" t="s">
        <v>63</v>
      </c>
      <c r="B12" s="6" t="s">
        <v>64</v>
      </c>
      <c r="C12" s="7">
        <v>4.2522242381406139</v>
      </c>
      <c r="D12" s="7">
        <v>4.7406174318143517</v>
      </c>
      <c r="E12" s="7">
        <v>95.083286518196786</v>
      </c>
      <c r="F12" s="7">
        <v>81.224379813470335</v>
      </c>
      <c r="G12" s="7">
        <v>89.697688102901452</v>
      </c>
      <c r="H12" s="7">
        <v>24419735.258492522</v>
      </c>
      <c r="I12" s="7">
        <v>583059955.26274049</v>
      </c>
      <c r="J12" s="7">
        <v>886387018.21618247</v>
      </c>
      <c r="K12" s="7">
        <v>715787128.3963511</v>
      </c>
    </row>
    <row r="13" spans="1:11" ht="16">
      <c r="A13" s="35"/>
      <c r="B13" s="6" t="s">
        <v>65</v>
      </c>
      <c r="C13" s="7">
        <v>3.1280033905931988</v>
      </c>
      <c r="D13" s="7">
        <v>5.9153573037165001</v>
      </c>
      <c r="E13" s="7">
        <v>60.77312255133986</v>
      </c>
      <c r="F13" s="7">
        <v>39.01048470704616</v>
      </c>
      <c r="G13" s="7">
        <v>52.879365184380944</v>
      </c>
      <c r="H13" s="7">
        <v>17963543.408838205</v>
      </c>
      <c r="I13" s="7">
        <v>372666694.78426081</v>
      </c>
      <c r="J13" s="7">
        <v>425714388.93168527</v>
      </c>
      <c r="K13" s="7">
        <v>418929472.07282126</v>
      </c>
    </row>
    <row r="14" spans="1:11" ht="16">
      <c r="A14" s="35"/>
      <c r="B14" s="6" t="s">
        <v>66</v>
      </c>
      <c r="C14" s="7">
        <v>1.0407110684019514</v>
      </c>
      <c r="D14" s="7">
        <v>5.3529506386624819</v>
      </c>
      <c r="E14" s="7">
        <v>29.636392785479188</v>
      </c>
      <c r="F14" s="7">
        <v>11.51966719068799</v>
      </c>
      <c r="G14" s="7">
        <v>19.44182075742042</v>
      </c>
      <c r="H14" s="7">
        <v>5976610.6742459517</v>
      </c>
      <c r="I14" s="7">
        <v>181733241.2920281</v>
      </c>
      <c r="J14" s="7">
        <v>125712051.91650268</v>
      </c>
      <c r="K14" s="7">
        <v>147157062.79208714</v>
      </c>
    </row>
    <row r="15" spans="1:11" ht="16">
      <c r="A15" s="35"/>
      <c r="B15" s="6" t="s">
        <v>67</v>
      </c>
      <c r="C15" s="7">
        <v>2.1572352740525737E-2</v>
      </c>
      <c r="D15" s="7">
        <v>3.0831223299769448</v>
      </c>
      <c r="E15" s="7">
        <v>7.849116053318287E-3</v>
      </c>
      <c r="F15" s="7">
        <v>1.7885508533238608</v>
      </c>
      <c r="G15" s="7">
        <v>0.69969175503610492</v>
      </c>
      <c r="H15" s="7">
        <v>123886.0213676798</v>
      </c>
      <c r="I15" s="7">
        <v>48131.542592650912</v>
      </c>
      <c r="J15" s="7">
        <v>19518133.120209187</v>
      </c>
      <c r="K15" s="7">
        <v>7013799.9697309081</v>
      </c>
    </row>
    <row r="16" spans="1:11" ht="16">
      <c r="A16" s="35"/>
      <c r="B16" s="6" t="s">
        <v>68</v>
      </c>
      <c r="C16" s="7">
        <v>4.0809617217533248E-3</v>
      </c>
      <c r="D16" s="7">
        <v>3.1140179556866552</v>
      </c>
      <c r="E16" s="7">
        <v>0</v>
      </c>
      <c r="F16" s="7">
        <v>5.6074503122266021E-2</v>
      </c>
      <c r="G16" s="7">
        <v>0.13105132275492787</v>
      </c>
      <c r="H16" s="7">
        <v>23436.206386151211</v>
      </c>
      <c r="I16" s="7">
        <v>0</v>
      </c>
      <c r="J16" s="7">
        <v>611930.94652914151</v>
      </c>
      <c r="K16" s="7">
        <v>1282033.432606407</v>
      </c>
    </row>
    <row r="17" spans="1:11" ht="16">
      <c r="A17" s="35"/>
      <c r="B17" s="6" t="s">
        <v>69</v>
      </c>
      <c r="C17" s="7">
        <v>1.0766012831969192</v>
      </c>
      <c r="D17" s="7">
        <v>8.6909761133502847</v>
      </c>
      <c r="E17" s="7">
        <v>14.756711824717925</v>
      </c>
      <c r="F17" s="7">
        <v>8.8568565909265882</v>
      </c>
      <c r="G17" s="7">
        <v>12.38757613823311</v>
      </c>
      <c r="H17" s="7">
        <v>6182721.5222587055</v>
      </c>
      <c r="I17" s="7">
        <v>90489591.298451453</v>
      </c>
      <c r="J17" s="7">
        <v>96653279.747145697</v>
      </c>
      <c r="K17" s="7">
        <v>96663014.156235799</v>
      </c>
    </row>
    <row r="18" spans="1:11" ht="16">
      <c r="A18" s="35"/>
      <c r="B18" s="6" t="s">
        <v>70</v>
      </c>
      <c r="C18" s="7">
        <v>0.56786421181701052</v>
      </c>
      <c r="D18" s="7">
        <v>4.8819189643059619</v>
      </c>
      <c r="E18" s="7">
        <v>6.1170866812991997</v>
      </c>
      <c r="F18" s="7">
        <v>14.349190735106029</v>
      </c>
      <c r="G18" s="7">
        <v>11.631987666508531</v>
      </c>
      <c r="H18" s="7">
        <v>3261138.8625656376</v>
      </c>
      <c r="I18" s="7">
        <v>37510570.125844836</v>
      </c>
      <c r="J18" s="7">
        <v>156590132.40500709</v>
      </c>
      <c r="K18" s="7">
        <v>101184397.29551265</v>
      </c>
    </row>
    <row r="19" spans="1:11" ht="16">
      <c r="A19" s="35"/>
      <c r="B19" s="6" t="s">
        <v>71</v>
      </c>
      <c r="C19" s="7">
        <v>0.2077568435875963</v>
      </c>
      <c r="D19" s="7">
        <v>6.6518654872094194</v>
      </c>
      <c r="E19" s="7">
        <v>3.4073200124050529</v>
      </c>
      <c r="F19" s="7">
        <v>0.79361665409660831</v>
      </c>
      <c r="G19" s="7">
        <v>3.1232869033067918</v>
      </c>
      <c r="H19" s="7">
        <v>1193109.0258700917</v>
      </c>
      <c r="I19" s="7">
        <v>20894017.516091291</v>
      </c>
      <c r="J19" s="7">
        <v>8660595.5163567178</v>
      </c>
      <c r="K19" s="7">
        <v>23905691.367240507</v>
      </c>
    </row>
    <row r="20" spans="1:11" ht="16">
      <c r="A20" s="35"/>
      <c r="B20" s="6" t="s">
        <v>72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</row>
    <row r="21" spans="1:11" ht="16">
      <c r="A21" s="35"/>
      <c r="B21" s="6" t="s">
        <v>73</v>
      </c>
      <c r="C21" s="7">
        <v>0.21038069279187624</v>
      </c>
      <c r="D21" s="7">
        <v>3.8503402869084407</v>
      </c>
      <c r="E21" s="7">
        <v>6.8477621313851733</v>
      </c>
      <c r="F21" s="7">
        <v>1.6465281797828211</v>
      </c>
      <c r="G21" s="7">
        <v>5.4639506411210608</v>
      </c>
      <c r="H21" s="7">
        <v>1208177.3052783152</v>
      </c>
      <c r="I21" s="7">
        <v>41991143.009252459</v>
      </c>
      <c r="J21" s="7">
        <v>17968265.279934768</v>
      </c>
      <c r="K21" s="7">
        <v>41723473.059407823</v>
      </c>
    </row>
    <row r="22" spans="1:11" ht="16">
      <c r="A22" s="35"/>
      <c r="B22" s="6" t="s">
        <v>74</v>
      </c>
      <c r="C22" s="7">
        <v>-9.6402366443412149E-4</v>
      </c>
      <c r="D22" s="7">
        <v>0</v>
      </c>
      <c r="E22" s="7">
        <v>0</v>
      </c>
      <c r="F22" s="7">
        <v>0</v>
      </c>
      <c r="G22" s="7">
        <v>-7.998774984228138E-2</v>
      </c>
      <c r="H22" s="7">
        <v>-5536.2091343275515</v>
      </c>
      <c r="I22" s="7">
        <v>0</v>
      </c>
      <c r="J22" s="7">
        <v>0</v>
      </c>
      <c r="K22" s="7">
        <v>-571591.28858489438</v>
      </c>
    </row>
    <row r="23" spans="1:11" ht="16">
      <c r="A23" s="35"/>
      <c r="B23" s="6" t="s">
        <v>75</v>
      </c>
      <c r="C23" s="7">
        <v>0.99571860834878467</v>
      </c>
      <c r="D23" s="7">
        <v>2.9501078707790049</v>
      </c>
      <c r="E23" s="7">
        <v>27.755962105279373</v>
      </c>
      <c r="F23" s="7">
        <v>41.266935455907621</v>
      </c>
      <c r="G23" s="7">
        <v>33.751938978619634</v>
      </c>
      <c r="H23" s="7">
        <v>5718227.3196543166</v>
      </c>
      <c r="I23" s="7">
        <v>170202257.57847965</v>
      </c>
      <c r="J23" s="7">
        <v>450338629.2844972</v>
      </c>
      <c r="K23" s="7">
        <v>275992054.00056344</v>
      </c>
    </row>
    <row r="24" spans="1:11" ht="16">
      <c r="A24" s="35"/>
      <c r="B24" s="6" t="s">
        <v>76</v>
      </c>
      <c r="C24" s="7">
        <v>3.1004547772728953E-5</v>
      </c>
      <c r="D24" s="7">
        <v>6.37287709210222</v>
      </c>
      <c r="E24" s="7">
        <v>0</v>
      </c>
      <c r="F24" s="7">
        <v>8.3700486412486164E-3</v>
      </c>
      <c r="G24" s="7">
        <v>4.865078570423439E-4</v>
      </c>
      <c r="H24" s="7">
        <v>178.05336831210832</v>
      </c>
      <c r="I24" s="7">
        <v>0</v>
      </c>
      <c r="J24" s="7">
        <v>91340.832327418771</v>
      </c>
      <c r="K24" s="7">
        <v>5329.0018734156383</v>
      </c>
    </row>
    <row r="25" spans="1:11" ht="16">
      <c r="A25" s="35"/>
      <c r="B25" s="6" t="s">
        <v>77</v>
      </c>
      <c r="C25" s="7">
        <v>-0.23974245484240894</v>
      </c>
      <c r="D25" s="7">
        <v>-10.397684816468361</v>
      </c>
      <c r="E25" s="7">
        <v>2.719609561079646</v>
      </c>
      <c r="F25" s="7">
        <v>1.8905932406646779</v>
      </c>
      <c r="G25" s="7">
        <v>2.3057291990876001</v>
      </c>
      <c r="H25" s="7">
        <v>-1376796.4598293905</v>
      </c>
      <c r="I25" s="7">
        <v>16676910.181388751</v>
      </c>
      <c r="J25" s="7">
        <v>20631703.302639656</v>
      </c>
      <c r="K25" s="7">
        <v>17958670.157660726</v>
      </c>
    </row>
    <row r="26" spans="1:11" ht="16">
      <c r="A26" s="35"/>
      <c r="B26" s="6" t="s">
        <v>78</v>
      </c>
      <c r="C26" s="7">
        <v>1.2179017184714234</v>
      </c>
      <c r="D26" s="7">
        <v>3.9185175191473731</v>
      </c>
      <c r="E26" s="7">
        <v>25.029150212849125</v>
      </c>
      <c r="F26" s="7">
        <v>38.408886519380843</v>
      </c>
      <c r="G26" s="7">
        <v>31.080675600409855</v>
      </c>
      <c r="H26" s="7">
        <v>6994183.7189988205</v>
      </c>
      <c r="I26" s="7">
        <v>153481182.00116441</v>
      </c>
      <c r="J26" s="7">
        <v>419149256.33290756</v>
      </c>
      <c r="K26" s="7">
        <v>254383482.52847457</v>
      </c>
    </row>
    <row r="27" spans="1:11" ht="16">
      <c r="A27" s="35"/>
      <c r="B27" s="6" t="s">
        <v>79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ht="16">
      <c r="A28" s="35"/>
      <c r="B28" s="6" t="s">
        <v>80</v>
      </c>
      <c r="C28" s="7">
        <v>2.2930132713313103E-3</v>
      </c>
      <c r="D28" s="7">
        <v>3.4573122317809148</v>
      </c>
      <c r="E28" s="7">
        <v>6.0685005400256111E-3</v>
      </c>
      <c r="F28" s="7">
        <v>0.62844101033038724</v>
      </c>
      <c r="G28" s="7">
        <v>6.6323580793573395E-2</v>
      </c>
      <c r="H28" s="7">
        <v>13168.349996190587</v>
      </c>
      <c r="I28" s="7">
        <v>37212.635184860788</v>
      </c>
      <c r="J28" s="7">
        <v>6858063.4847658966</v>
      </c>
      <c r="K28" s="7">
        <v>675729.21325505211</v>
      </c>
    </row>
    <row r="29" spans="1:11" ht="16">
      <c r="A29" s="35"/>
      <c r="B29" s="6" t="s">
        <v>81</v>
      </c>
      <c r="C29" s="7">
        <v>1.5235326900666289E-2</v>
      </c>
      <c r="D29" s="7">
        <v>5.1001333292591609</v>
      </c>
      <c r="E29" s="7">
        <v>1.1338308105751076E-3</v>
      </c>
      <c r="F29" s="7">
        <v>0.33064463689046081</v>
      </c>
      <c r="G29" s="7">
        <v>0.2987240904715594</v>
      </c>
      <c r="H29" s="7">
        <v>87493.65712038381</v>
      </c>
      <c r="I29" s="7">
        <v>6952.760741635926</v>
      </c>
      <c r="J29" s="7">
        <v>3608265.331856722</v>
      </c>
      <c r="K29" s="7">
        <v>2968843.0992996925</v>
      </c>
    </row>
    <row r="30" spans="1:11" ht="16">
      <c r="A30" s="35"/>
      <c r="B30" s="6" t="s">
        <v>82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ht="16">
      <c r="A31" s="36"/>
      <c r="B31" s="6" t="s">
        <v>83</v>
      </c>
      <c r="C31" s="7">
        <v>0.12850223919863088</v>
      </c>
      <c r="D31" s="7">
        <v>4.1906767618534078</v>
      </c>
      <c r="E31" s="7">
        <v>6.5542018615775524</v>
      </c>
      <c r="F31" s="7">
        <v>0.94695965051654929</v>
      </c>
      <c r="G31" s="7">
        <v>3.0663839399008741</v>
      </c>
      <c r="H31" s="7">
        <v>737964.53</v>
      </c>
      <c r="I31" s="7">
        <v>40191002.899999999</v>
      </c>
      <c r="J31" s="7">
        <v>10334000</v>
      </c>
      <c r="K31" s="7">
        <v>20865602.32296636</v>
      </c>
    </row>
    <row r="32" spans="1:11" ht="16">
      <c r="A32" s="43" t="s">
        <v>84</v>
      </c>
      <c r="B32" s="6" t="s">
        <v>85</v>
      </c>
      <c r="C32" s="7">
        <v>3.7941465588655042E-2</v>
      </c>
      <c r="D32" s="7">
        <v>1.0893104024469564</v>
      </c>
      <c r="E32" s="7">
        <v>1.8131960810972723</v>
      </c>
      <c r="F32" s="7">
        <v>2.8178574304809882</v>
      </c>
      <c r="G32" s="7">
        <v>3.4830719970566504</v>
      </c>
      <c r="H32" s="7">
        <v>217890.80093276154</v>
      </c>
      <c r="I32" s="7">
        <v>11118694.616480546</v>
      </c>
      <c r="J32" s="7">
        <v>30750770.289638259</v>
      </c>
      <c r="K32" s="7">
        <v>27297506.047855347</v>
      </c>
    </row>
    <row r="33" spans="1:11" ht="16">
      <c r="A33" s="41"/>
      <c r="B33" s="6" t="s">
        <v>86</v>
      </c>
      <c r="C33" s="7">
        <v>3.2808596743827598E-3</v>
      </c>
      <c r="D33" s="7">
        <v>0.26403451703148373</v>
      </c>
      <c r="E33" s="7">
        <v>9.5478160986503399E-2</v>
      </c>
      <c r="F33" s="7">
        <v>1.0243164260229369</v>
      </c>
      <c r="G33" s="7">
        <v>1.2425874129144814</v>
      </c>
      <c r="H33" s="7">
        <v>18841.368700660139</v>
      </c>
      <c r="I33" s="7">
        <v>585481.36388518207</v>
      </c>
      <c r="J33" s="7">
        <v>11178180.549453136</v>
      </c>
      <c r="K33" s="7">
        <v>9771129.0321302414</v>
      </c>
    </row>
    <row r="34" spans="1:11" ht="16">
      <c r="A34" s="41"/>
      <c r="B34" s="6" t="s">
        <v>87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</row>
    <row r="35" spans="1:11" ht="16">
      <c r="A35" s="41"/>
      <c r="B35" s="6" t="s">
        <v>88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</row>
    <row r="36" spans="1:11" ht="16">
      <c r="A36" s="41"/>
      <c r="B36" s="6" t="s">
        <v>89</v>
      </c>
      <c r="C36" s="7">
        <v>1.3294466466694762E-5</v>
      </c>
      <c r="D36" s="7">
        <v>1.5486787367650556</v>
      </c>
      <c r="E36" s="7">
        <v>0</v>
      </c>
      <c r="F36" s="7">
        <v>9.3941320711142307E-2</v>
      </c>
      <c r="G36" s="7">
        <v>8.5843927156027179E-4</v>
      </c>
      <c r="H36" s="7">
        <v>76.347655565208925</v>
      </c>
      <c r="I36" s="7">
        <v>0</v>
      </c>
      <c r="J36" s="7">
        <v>1025164.7023179884</v>
      </c>
      <c r="K36" s="7">
        <v>9396.0062753098191</v>
      </c>
    </row>
    <row r="37" spans="1:11" ht="16">
      <c r="A37" s="41"/>
      <c r="B37" s="6" t="s">
        <v>90</v>
      </c>
      <c r="C37" s="7">
        <v>1.6388071921544491E-2</v>
      </c>
      <c r="D37" s="7">
        <v>3.58491724566976</v>
      </c>
      <c r="E37" s="7">
        <v>0</v>
      </c>
      <c r="F37" s="7">
        <v>0.28539440599426552</v>
      </c>
      <c r="G37" s="7">
        <v>0.45713947626935397</v>
      </c>
      <c r="H37" s="7">
        <v>94113.658007895865</v>
      </c>
      <c r="I37" s="7">
        <v>0</v>
      </c>
      <c r="J37" s="7">
        <v>3114457.7173229815</v>
      </c>
      <c r="K37" s="7">
        <v>3917662.9742781851</v>
      </c>
    </row>
    <row r="38" spans="1:11" ht="16">
      <c r="A38" s="41"/>
      <c r="B38" s="6" t="s">
        <v>91</v>
      </c>
      <c r="C38" s="7">
        <v>0</v>
      </c>
      <c r="D38" s="7">
        <v>0</v>
      </c>
      <c r="E38" s="7">
        <v>0.75026371474720066</v>
      </c>
      <c r="F38" s="7">
        <v>0.88092344111050458</v>
      </c>
      <c r="G38" s="7">
        <v>0.92991881857463576</v>
      </c>
      <c r="H38" s="7">
        <v>0</v>
      </c>
      <c r="I38" s="7">
        <v>4600690.026338567</v>
      </c>
      <c r="J38" s="7">
        <v>9613358.7481474858</v>
      </c>
      <c r="K38" s="7">
        <v>7004698.2292534644</v>
      </c>
    </row>
    <row r="39" spans="1:11" ht="16">
      <c r="A39" s="42"/>
      <c r="B39" s="6" t="s">
        <v>92</v>
      </c>
      <c r="C39" s="7">
        <v>1.8259239526261094E-2</v>
      </c>
      <c r="D39" s="7">
        <v>2.1416758238879177</v>
      </c>
      <c r="E39" s="7">
        <v>0.9674542053635683</v>
      </c>
      <c r="F39" s="7">
        <v>0.53328183664213891</v>
      </c>
      <c r="G39" s="7">
        <v>0.85256785002661883</v>
      </c>
      <c r="H39" s="7">
        <v>104859.42656864032</v>
      </c>
      <c r="I39" s="7">
        <v>5932523.2262567971</v>
      </c>
      <c r="J39" s="7">
        <v>5819608.5723966686</v>
      </c>
      <c r="K39" s="7">
        <v>6594619.805918145</v>
      </c>
    </row>
    <row r="40" spans="1:11" ht="16">
      <c r="A40" s="34" t="s">
        <v>93</v>
      </c>
      <c r="B40" s="6" t="s">
        <v>43</v>
      </c>
      <c r="C40" s="7">
        <v>4.7104329609971166E-3</v>
      </c>
      <c r="D40" s="7">
        <v>0.23068755574265515</v>
      </c>
      <c r="E40" s="7">
        <v>2.1550754893535289</v>
      </c>
      <c r="F40" s="7">
        <v>2.3777449553454191</v>
      </c>
      <c r="G40" s="7">
        <v>2.0419102997700787</v>
      </c>
      <c r="H40" s="7">
        <v>27051.142982695837</v>
      </c>
      <c r="I40" s="7">
        <v>13215132.379441094</v>
      </c>
      <c r="J40" s="7">
        <v>25947902.16788666</v>
      </c>
      <c r="K40" s="7">
        <v>16452669.81469165</v>
      </c>
    </row>
    <row r="41" spans="1:11" ht="16">
      <c r="A41" s="34" t="s">
        <v>94</v>
      </c>
      <c r="B41" s="6" t="s">
        <v>95</v>
      </c>
      <c r="C41" s="7">
        <v>-0.75501097316340982</v>
      </c>
      <c r="D41" s="7">
        <v>-10.080829354091804</v>
      </c>
      <c r="E41" s="7">
        <v>-9.6719331967670463</v>
      </c>
      <c r="F41" s="7">
        <v>-5.3885904557902418</v>
      </c>
      <c r="G41" s="7">
        <v>-7.4895720048762771</v>
      </c>
      <c r="H41" s="7">
        <v>-4335888.0081002871</v>
      </c>
      <c r="I41" s="7">
        <v>-59309234.498662084</v>
      </c>
      <c r="J41" s="7">
        <v>-58804716.483707435</v>
      </c>
      <c r="K41" s="7">
        <v>-59066654.257708035</v>
      </c>
    </row>
    <row r="42" spans="1:11" ht="16">
      <c r="A42" s="35"/>
      <c r="B42" s="6" t="s">
        <v>96</v>
      </c>
      <c r="C42" s="7">
        <v>-0.17230340378673728</v>
      </c>
      <c r="D42" s="7">
        <v>-2.5542391013266754</v>
      </c>
      <c r="E42" s="7">
        <v>-9.5071636559697321</v>
      </c>
      <c r="F42" s="7">
        <v>-4.9222769350915589</v>
      </c>
      <c r="G42" s="7">
        <v>-6.7457820881859751</v>
      </c>
      <c r="H42" s="7">
        <v>-989506.49565205828</v>
      </c>
      <c r="I42" s="7">
        <v>-58298851.658481665</v>
      </c>
      <c r="J42" s="7">
        <v>-53715921.073816873</v>
      </c>
      <c r="K42" s="7">
        <v>-53064109.32688421</v>
      </c>
    </row>
    <row r="43" spans="1:11" ht="16">
      <c r="A43" s="36"/>
      <c r="B43" s="6" t="s">
        <v>97</v>
      </c>
      <c r="C43" s="7">
        <v>-0.58270756937667256</v>
      </c>
      <c r="D43" s="7">
        <v>-78.34303158741254</v>
      </c>
      <c r="E43" s="7">
        <v>-0.16476954079731451</v>
      </c>
      <c r="F43" s="7">
        <v>-0.46631352069868315</v>
      </c>
      <c r="G43" s="7">
        <v>-0.74378991669030181</v>
      </c>
      <c r="H43" s="7">
        <v>-3346381.5124482294</v>
      </c>
      <c r="I43" s="7">
        <v>-1010382.8401804219</v>
      </c>
      <c r="J43" s="7">
        <v>-5088795.409890567</v>
      </c>
      <c r="K43" s="7">
        <v>-6002544.9308238244</v>
      </c>
    </row>
    <row r="44" spans="1:11" ht="16">
      <c r="A44" s="6" t="s">
        <v>98</v>
      </c>
      <c r="B44" s="6" t="s">
        <v>98</v>
      </c>
      <c r="C44" s="7">
        <v>3.1902086677367576</v>
      </c>
      <c r="D44" s="7">
        <v>3.1902086677367576</v>
      </c>
      <c r="E44" s="7">
        <v>100</v>
      </c>
      <c r="F44" s="7">
        <v>100</v>
      </c>
      <c r="G44" s="7">
        <v>100</v>
      </c>
      <c r="H44" s="7">
        <v>18320776.780000001</v>
      </c>
      <c r="I44" s="7">
        <v>613209720.25</v>
      </c>
      <c r="J44" s="7">
        <v>1091281977.47</v>
      </c>
      <c r="K44" s="7">
        <v>806663249.9563303</v>
      </c>
    </row>
  </sheetData>
  <mergeCells count="12">
    <mergeCell ref="A40"/>
    <mergeCell ref="A41:A43"/>
    <mergeCell ref="H1:H2"/>
    <mergeCell ref="I1:K1"/>
    <mergeCell ref="A4:A11"/>
    <mergeCell ref="A12:A31"/>
    <mergeCell ref="A32:A39"/>
    <mergeCell ref="A1:A3"/>
    <mergeCell ref="B1:B3"/>
    <mergeCell ref="C1:C2"/>
    <mergeCell ref="D1:D2"/>
    <mergeCell ref="E1:G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E481-BA3D-45EF-9E7F-57784A7B50EA}">
  <sheetPr codeName="Sheet7"/>
  <dimension ref="A1:K44"/>
  <sheetViews>
    <sheetView workbookViewId="0">
      <selection activeCell="K9" sqref="K9"/>
    </sheetView>
  </sheetViews>
  <sheetFormatPr baseColWidth="10" defaultColWidth="8.83203125" defaultRowHeight="15"/>
  <cols>
    <col min="8" max="8" width="12.5" customWidth="1"/>
    <col min="9" max="11" width="14.83203125" customWidth="1"/>
  </cols>
  <sheetData>
    <row r="1" spans="1:11">
      <c r="A1" s="37" t="s">
        <v>44</v>
      </c>
      <c r="B1" s="37" t="s">
        <v>45</v>
      </c>
      <c r="C1" s="37" t="s">
        <v>46</v>
      </c>
      <c r="D1" s="37" t="s">
        <v>47</v>
      </c>
      <c r="E1" s="37" t="s">
        <v>48</v>
      </c>
      <c r="F1" s="38"/>
      <c r="G1" s="39"/>
      <c r="H1" s="37" t="s">
        <v>49</v>
      </c>
      <c r="I1" s="37" t="s">
        <v>50</v>
      </c>
      <c r="J1" s="38"/>
      <c r="K1" s="39"/>
    </row>
    <row r="2" spans="1:11" ht="17">
      <c r="A2" s="35"/>
      <c r="B2" s="35"/>
      <c r="C2" s="36"/>
      <c r="D2" s="36"/>
      <c r="E2" s="8" t="s">
        <v>51</v>
      </c>
      <c r="F2" s="8" t="s">
        <v>52</v>
      </c>
      <c r="G2" s="8" t="s">
        <v>53</v>
      </c>
      <c r="H2" s="36"/>
      <c r="I2" s="8" t="s">
        <v>51</v>
      </c>
      <c r="J2" s="8" t="s">
        <v>52</v>
      </c>
      <c r="K2" s="8" t="s">
        <v>53</v>
      </c>
    </row>
    <row r="3" spans="1:11" ht="17">
      <c r="A3" s="36"/>
      <c r="B3" s="36"/>
      <c r="C3" s="8" t="s">
        <v>112</v>
      </c>
      <c r="D3" s="8" t="s">
        <v>112</v>
      </c>
      <c r="E3" s="8" t="s">
        <v>112</v>
      </c>
      <c r="F3" s="8" t="s">
        <v>112</v>
      </c>
      <c r="G3" s="8" t="s">
        <v>112</v>
      </c>
      <c r="H3" s="8" t="s">
        <v>112</v>
      </c>
      <c r="I3" s="8" t="s">
        <v>112</v>
      </c>
      <c r="J3" s="8" t="s">
        <v>112</v>
      </c>
      <c r="K3" s="8" t="s">
        <v>112</v>
      </c>
    </row>
    <row r="4" spans="1:11" ht="16">
      <c r="A4" s="34" t="s">
        <v>54</v>
      </c>
      <c r="B4" s="6" t="s">
        <v>55</v>
      </c>
      <c r="C4" s="7">
        <v>-0.34965649579009889</v>
      </c>
      <c r="D4" s="7">
        <v>-2.850405970839101</v>
      </c>
      <c r="E4" s="7">
        <v>10.620375108119465</v>
      </c>
      <c r="F4" s="7">
        <v>18.968608256493503</v>
      </c>
      <c r="G4" s="7">
        <v>12.266901605148096</v>
      </c>
      <c r="H4" s="7">
        <v>-2008012.4143076916</v>
      </c>
      <c r="I4" s="7">
        <v>65125172.490000002</v>
      </c>
      <c r="J4" s="7">
        <v>207001003.28</v>
      </c>
      <c r="K4" s="7">
        <v>106192599.95514025</v>
      </c>
    </row>
    <row r="5" spans="1:11" ht="16">
      <c r="A5" s="35"/>
      <c r="B5" s="6" t="s">
        <v>56</v>
      </c>
      <c r="C5" s="7">
        <v>-0.1702005304965605</v>
      </c>
      <c r="D5" s="7">
        <v>-1.4174151056777777</v>
      </c>
      <c r="E5" s="7">
        <v>10.620375108119465</v>
      </c>
      <c r="F5" s="7">
        <v>16.373376509364373</v>
      </c>
      <c r="G5" s="7">
        <v>12.007811248432706</v>
      </c>
      <c r="H5" s="7">
        <v>-977430.08430769166</v>
      </c>
      <c r="I5" s="7">
        <v>65125172.490000002</v>
      </c>
      <c r="J5" s="7">
        <v>178679706.94999999</v>
      </c>
      <c r="K5" s="7">
        <v>103372942.52887113</v>
      </c>
    </row>
    <row r="6" spans="1:11" ht="16">
      <c r="A6" s="35"/>
      <c r="B6" s="6" t="s">
        <v>57</v>
      </c>
      <c r="C6" s="7">
        <v>0.45041717852719548</v>
      </c>
      <c r="D6" s="7">
        <v>1355.8730135251608</v>
      </c>
      <c r="E6" s="7">
        <v>0.25788945246257289</v>
      </c>
      <c r="F6" s="7">
        <v>1.006931318106743E-3</v>
      </c>
      <c r="G6" s="7">
        <v>3.3219717040915725E-2</v>
      </c>
      <c r="H6" s="7">
        <v>2586662.33</v>
      </c>
      <c r="I6" s="7">
        <v>1581403.19</v>
      </c>
      <c r="J6" s="7">
        <v>10988.46</v>
      </c>
      <c r="K6" s="7">
        <v>213014.88672782874</v>
      </c>
    </row>
    <row r="7" spans="1:11" ht="16">
      <c r="A7" s="35"/>
      <c r="B7" s="6" t="s">
        <v>58</v>
      </c>
      <c r="C7" s="7">
        <v>-0.18967220498017548</v>
      </c>
      <c r="D7" s="7">
        <v>-74.091589614551467</v>
      </c>
      <c r="E7" s="7">
        <v>0</v>
      </c>
      <c r="F7" s="7">
        <v>2.391889753417793</v>
      </c>
      <c r="G7" s="7">
        <v>0.25599694373803006</v>
      </c>
      <c r="H7" s="7">
        <v>-1089252.3</v>
      </c>
      <c r="I7" s="7">
        <v>0</v>
      </c>
      <c r="J7" s="7">
        <v>26102261.800000001</v>
      </c>
      <c r="K7" s="7">
        <v>2785814.1370030581</v>
      </c>
    </row>
    <row r="8" spans="1:11" ht="16">
      <c r="A8" s="35"/>
      <c r="B8" s="6" t="s">
        <v>59</v>
      </c>
      <c r="C8" s="7">
        <v>5.2953076741550018E-3</v>
      </c>
      <c r="D8" s="7">
        <v>171.18010795546499</v>
      </c>
      <c r="E8" s="7">
        <v>0</v>
      </c>
      <c r="F8" s="7">
        <v>0.20334199371133688</v>
      </c>
      <c r="G8" s="7">
        <v>3.0934129773610461E-3</v>
      </c>
      <c r="H8" s="7">
        <v>30409.97</v>
      </c>
      <c r="I8" s="7">
        <v>0</v>
      </c>
      <c r="J8" s="7">
        <v>2219034.5299999998</v>
      </c>
      <c r="K8" s="7">
        <v>33843.289266055042</v>
      </c>
    </row>
    <row r="9" spans="1:11" ht="16">
      <c r="A9" s="35"/>
      <c r="B9" s="6" t="s">
        <v>60</v>
      </c>
      <c r="C9" s="7">
        <v>4.9209320124821024E-3</v>
      </c>
      <c r="D9" s="7">
        <v>0</v>
      </c>
      <c r="E9" s="7">
        <v>-0.45764440897249459</v>
      </c>
      <c r="F9" s="7">
        <v>0</v>
      </c>
      <c r="G9" s="7">
        <v>-5.0255922415640947E-2</v>
      </c>
      <c r="H9" s="7">
        <v>28260</v>
      </c>
      <c r="I9" s="7">
        <v>-2806320</v>
      </c>
      <c r="J9" s="7">
        <v>0</v>
      </c>
      <c r="K9" s="7">
        <v>-306940.91743119265</v>
      </c>
    </row>
    <row r="10" spans="1:11" ht="16">
      <c r="A10" s="35"/>
      <c r="B10" s="6" t="s">
        <v>61</v>
      </c>
      <c r="C10" s="7">
        <v>-3.730251043944563E-2</v>
      </c>
      <c r="D10" s="7">
        <v>-113.09345627728122</v>
      </c>
      <c r="E10" s="7">
        <v>0</v>
      </c>
      <c r="F10" s="7">
        <v>0.57686633976992074</v>
      </c>
      <c r="G10" s="7">
        <v>3.2983792048929664E-2</v>
      </c>
      <c r="H10" s="7">
        <v>-214221.4</v>
      </c>
      <c r="I10" s="7">
        <v>0</v>
      </c>
      <c r="J10" s="7">
        <v>6295238.4000000004</v>
      </c>
      <c r="K10" s="7">
        <v>360801.65626911313</v>
      </c>
    </row>
    <row r="11" spans="1:11" ht="16">
      <c r="A11" s="36"/>
      <c r="B11" s="6" t="s">
        <v>62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</row>
    <row r="12" spans="1:11" ht="16">
      <c r="A12" s="34" t="s">
        <v>63</v>
      </c>
      <c r="B12" s="6" t="s">
        <v>64</v>
      </c>
      <c r="C12" s="7">
        <v>4.2522242381406139</v>
      </c>
      <c r="D12" s="7">
        <v>4.7406174318143517</v>
      </c>
      <c r="E12" s="7">
        <v>95.083286518196786</v>
      </c>
      <c r="F12" s="7">
        <v>81.224379813470335</v>
      </c>
      <c r="G12" s="7">
        <v>89.697688102901452</v>
      </c>
      <c r="H12" s="7">
        <v>24419735.258492522</v>
      </c>
      <c r="I12" s="7">
        <v>583059955.26274049</v>
      </c>
      <c r="J12" s="7">
        <v>886387018.21618247</v>
      </c>
      <c r="K12" s="7">
        <v>715787128.3963511</v>
      </c>
    </row>
    <row r="13" spans="1:11" ht="16">
      <c r="A13" s="35"/>
      <c r="B13" s="6" t="s">
        <v>65</v>
      </c>
      <c r="C13" s="7">
        <v>3.1280033905931988</v>
      </c>
      <c r="D13" s="7">
        <v>5.9153573037165001</v>
      </c>
      <c r="E13" s="7">
        <v>60.77312255133986</v>
      </c>
      <c r="F13" s="7">
        <v>39.01048470704616</v>
      </c>
      <c r="G13" s="7">
        <v>52.879365184380944</v>
      </c>
      <c r="H13" s="7">
        <v>17963543.408838205</v>
      </c>
      <c r="I13" s="7">
        <v>372666694.78426081</v>
      </c>
      <c r="J13" s="7">
        <v>425714388.93168527</v>
      </c>
      <c r="K13" s="7">
        <v>418929472.07282126</v>
      </c>
    </row>
    <row r="14" spans="1:11" ht="16">
      <c r="A14" s="35"/>
      <c r="B14" s="6" t="s">
        <v>66</v>
      </c>
      <c r="C14" s="7">
        <v>1.0407110684019514</v>
      </c>
      <c r="D14" s="7">
        <v>5.3529506386624819</v>
      </c>
      <c r="E14" s="7">
        <v>29.636392785479188</v>
      </c>
      <c r="F14" s="7">
        <v>11.51966719068799</v>
      </c>
      <c r="G14" s="7">
        <v>19.44182075742042</v>
      </c>
      <c r="H14" s="7">
        <v>5976610.6742459517</v>
      </c>
      <c r="I14" s="7">
        <v>181733241.2920281</v>
      </c>
      <c r="J14" s="7">
        <v>125712051.91650268</v>
      </c>
      <c r="K14" s="7">
        <v>147157062.79208714</v>
      </c>
    </row>
    <row r="15" spans="1:11" ht="16">
      <c r="A15" s="35"/>
      <c r="B15" s="6" t="s">
        <v>67</v>
      </c>
      <c r="C15" s="7">
        <v>2.1572352740525737E-2</v>
      </c>
      <c r="D15" s="7">
        <v>3.0831223299769448</v>
      </c>
      <c r="E15" s="7">
        <v>7.849116053318287E-3</v>
      </c>
      <c r="F15" s="7">
        <v>1.7885508533238608</v>
      </c>
      <c r="G15" s="7">
        <v>0.69969175503610492</v>
      </c>
      <c r="H15" s="7">
        <v>123886.0213676798</v>
      </c>
      <c r="I15" s="7">
        <v>48131.542592650912</v>
      </c>
      <c r="J15" s="7">
        <v>19518133.120209187</v>
      </c>
      <c r="K15" s="7">
        <v>7013799.9697309081</v>
      </c>
    </row>
    <row r="16" spans="1:11" ht="16">
      <c r="A16" s="35"/>
      <c r="B16" s="6" t="s">
        <v>68</v>
      </c>
      <c r="C16" s="7">
        <v>4.0809617217533248E-3</v>
      </c>
      <c r="D16" s="7">
        <v>3.1140179556866552</v>
      </c>
      <c r="E16" s="7">
        <v>0</v>
      </c>
      <c r="F16" s="7">
        <v>5.6074503122266021E-2</v>
      </c>
      <c r="G16" s="7">
        <v>0.13105132275492787</v>
      </c>
      <c r="H16" s="7">
        <v>23436.206386151211</v>
      </c>
      <c r="I16" s="7">
        <v>0</v>
      </c>
      <c r="J16" s="7">
        <v>611930.94652914151</v>
      </c>
      <c r="K16" s="7">
        <v>1282033.432606407</v>
      </c>
    </row>
    <row r="17" spans="1:11" ht="16">
      <c r="A17" s="35"/>
      <c r="B17" s="6" t="s">
        <v>69</v>
      </c>
      <c r="C17" s="7">
        <v>1.0766012831969192</v>
      </c>
      <c r="D17" s="7">
        <v>8.6909761133502847</v>
      </c>
      <c r="E17" s="7">
        <v>14.756711824717925</v>
      </c>
      <c r="F17" s="7">
        <v>8.8568565909265882</v>
      </c>
      <c r="G17" s="7">
        <v>12.38757613823311</v>
      </c>
      <c r="H17" s="7">
        <v>6182721.5222587055</v>
      </c>
      <c r="I17" s="7">
        <v>90489591.298451453</v>
      </c>
      <c r="J17" s="7">
        <v>96653279.747145697</v>
      </c>
      <c r="K17" s="7">
        <v>96663014.156235799</v>
      </c>
    </row>
    <row r="18" spans="1:11" ht="16">
      <c r="A18" s="35"/>
      <c r="B18" s="6" t="s">
        <v>70</v>
      </c>
      <c r="C18" s="7">
        <v>0.56786421181701052</v>
      </c>
      <c r="D18" s="7">
        <v>4.8819189643059619</v>
      </c>
      <c r="E18" s="7">
        <v>6.1170866812991997</v>
      </c>
      <c r="F18" s="7">
        <v>14.349190735106029</v>
      </c>
      <c r="G18" s="7">
        <v>11.631987666508531</v>
      </c>
      <c r="H18" s="7">
        <v>3261138.8625656376</v>
      </c>
      <c r="I18" s="7">
        <v>37510570.125844836</v>
      </c>
      <c r="J18" s="7">
        <v>156590132.40500709</v>
      </c>
      <c r="K18" s="7">
        <v>101184397.29551265</v>
      </c>
    </row>
    <row r="19" spans="1:11" ht="16">
      <c r="A19" s="35"/>
      <c r="B19" s="6" t="s">
        <v>71</v>
      </c>
      <c r="C19" s="7">
        <v>0.2077568435875963</v>
      </c>
      <c r="D19" s="7">
        <v>6.6518654872094194</v>
      </c>
      <c r="E19" s="7">
        <v>3.4073200124050529</v>
      </c>
      <c r="F19" s="7">
        <v>0.79361665409660831</v>
      </c>
      <c r="G19" s="7">
        <v>3.1232869033067918</v>
      </c>
      <c r="H19" s="7">
        <v>1193109.0258700917</v>
      </c>
      <c r="I19" s="7">
        <v>20894017.516091291</v>
      </c>
      <c r="J19" s="7">
        <v>8660595.5163567178</v>
      </c>
      <c r="K19" s="7">
        <v>23905691.367240507</v>
      </c>
    </row>
    <row r="20" spans="1:11" ht="16">
      <c r="A20" s="35"/>
      <c r="B20" s="6" t="s">
        <v>72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</row>
    <row r="21" spans="1:11" ht="16">
      <c r="A21" s="35"/>
      <c r="B21" s="6" t="s">
        <v>73</v>
      </c>
      <c r="C21" s="7">
        <v>0.21038069279187624</v>
      </c>
      <c r="D21" s="7">
        <v>3.8503402869084407</v>
      </c>
      <c r="E21" s="7">
        <v>6.8477621313851733</v>
      </c>
      <c r="F21" s="7">
        <v>1.6465281797828211</v>
      </c>
      <c r="G21" s="7">
        <v>5.4639506411210608</v>
      </c>
      <c r="H21" s="7">
        <v>1208177.3052783152</v>
      </c>
      <c r="I21" s="7">
        <v>41991143.009252459</v>
      </c>
      <c r="J21" s="7">
        <v>17968265.279934768</v>
      </c>
      <c r="K21" s="7">
        <v>41723473.059407823</v>
      </c>
    </row>
    <row r="22" spans="1:11" ht="16">
      <c r="A22" s="35"/>
      <c r="B22" s="6" t="s">
        <v>74</v>
      </c>
      <c r="C22" s="7">
        <v>-9.6402366443412149E-4</v>
      </c>
      <c r="D22" s="7">
        <v>0</v>
      </c>
      <c r="E22" s="7">
        <v>0</v>
      </c>
      <c r="F22" s="7">
        <v>0</v>
      </c>
      <c r="G22" s="7">
        <v>-7.998774984228138E-2</v>
      </c>
      <c r="H22" s="7">
        <v>-5536.2091343275515</v>
      </c>
      <c r="I22" s="7">
        <v>0</v>
      </c>
      <c r="J22" s="7">
        <v>0</v>
      </c>
      <c r="K22" s="7">
        <v>-571591.28858489438</v>
      </c>
    </row>
    <row r="23" spans="1:11" ht="16">
      <c r="A23" s="35"/>
      <c r="B23" s="6" t="s">
        <v>75</v>
      </c>
      <c r="C23" s="7">
        <v>0.99571860834878467</v>
      </c>
      <c r="D23" s="7">
        <v>2.9501078707790049</v>
      </c>
      <c r="E23" s="7">
        <v>27.755962105279373</v>
      </c>
      <c r="F23" s="7">
        <v>41.266935455907621</v>
      </c>
      <c r="G23" s="7">
        <v>33.751938978619634</v>
      </c>
      <c r="H23" s="7">
        <v>5718227.3196543166</v>
      </c>
      <c r="I23" s="7">
        <v>170202257.57847965</v>
      </c>
      <c r="J23" s="7">
        <v>450338629.2844972</v>
      </c>
      <c r="K23" s="7">
        <v>275992054.00056344</v>
      </c>
    </row>
    <row r="24" spans="1:11" ht="16">
      <c r="A24" s="35"/>
      <c r="B24" s="6" t="s">
        <v>76</v>
      </c>
      <c r="C24" s="7">
        <v>3.1004547772728953E-5</v>
      </c>
      <c r="D24" s="7">
        <v>6.37287709210222</v>
      </c>
      <c r="E24" s="7">
        <v>0</v>
      </c>
      <c r="F24" s="7">
        <v>8.3700486412486164E-3</v>
      </c>
      <c r="G24" s="7">
        <v>4.865078570423439E-4</v>
      </c>
      <c r="H24" s="7">
        <v>178.05336831210832</v>
      </c>
      <c r="I24" s="7">
        <v>0</v>
      </c>
      <c r="J24" s="7">
        <v>91340.832327418771</v>
      </c>
      <c r="K24" s="7">
        <v>5329.0018734156383</v>
      </c>
    </row>
    <row r="25" spans="1:11" ht="16">
      <c r="A25" s="35"/>
      <c r="B25" s="6" t="s">
        <v>77</v>
      </c>
      <c r="C25" s="7">
        <v>-0.23974245484240894</v>
      </c>
      <c r="D25" s="7">
        <v>-10.397684816468361</v>
      </c>
      <c r="E25" s="7">
        <v>2.719609561079646</v>
      </c>
      <c r="F25" s="7">
        <v>1.8905932406646779</v>
      </c>
      <c r="G25" s="7">
        <v>2.3057291990876001</v>
      </c>
      <c r="H25" s="7">
        <v>-1376796.4598293905</v>
      </c>
      <c r="I25" s="7">
        <v>16676910.181388751</v>
      </c>
      <c r="J25" s="7">
        <v>20631703.302639656</v>
      </c>
      <c r="K25" s="7">
        <v>17958670.157660726</v>
      </c>
    </row>
    <row r="26" spans="1:11" ht="16">
      <c r="A26" s="35"/>
      <c r="B26" s="6" t="s">
        <v>78</v>
      </c>
      <c r="C26" s="7">
        <v>1.2179017184714234</v>
      </c>
      <c r="D26" s="7">
        <v>3.9185175191473731</v>
      </c>
      <c r="E26" s="7">
        <v>25.029150212849125</v>
      </c>
      <c r="F26" s="7">
        <v>38.408886519380843</v>
      </c>
      <c r="G26" s="7">
        <v>31.080675600409855</v>
      </c>
      <c r="H26" s="7">
        <v>6994183.7189988205</v>
      </c>
      <c r="I26" s="7">
        <v>153481182.00116441</v>
      </c>
      <c r="J26" s="7">
        <v>419149256.33290756</v>
      </c>
      <c r="K26" s="7">
        <v>254383482.52847457</v>
      </c>
    </row>
    <row r="27" spans="1:11" ht="16">
      <c r="A27" s="35"/>
      <c r="B27" s="6" t="s">
        <v>79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ht="16">
      <c r="A28" s="35"/>
      <c r="B28" s="6" t="s">
        <v>80</v>
      </c>
      <c r="C28" s="7">
        <v>2.2930132713313103E-3</v>
      </c>
      <c r="D28" s="7">
        <v>3.4573122317809148</v>
      </c>
      <c r="E28" s="7">
        <v>6.0685005400256111E-3</v>
      </c>
      <c r="F28" s="7">
        <v>0.62844101033038724</v>
      </c>
      <c r="G28" s="7">
        <v>6.6323580793573395E-2</v>
      </c>
      <c r="H28" s="7">
        <v>13168.349996190587</v>
      </c>
      <c r="I28" s="7">
        <v>37212.635184860788</v>
      </c>
      <c r="J28" s="7">
        <v>6858063.4847658966</v>
      </c>
      <c r="K28" s="7">
        <v>675729.21325505211</v>
      </c>
    </row>
    <row r="29" spans="1:11" ht="16">
      <c r="A29" s="35"/>
      <c r="B29" s="6" t="s">
        <v>81</v>
      </c>
      <c r="C29" s="7">
        <v>1.5235326900666289E-2</v>
      </c>
      <c r="D29" s="7">
        <v>5.1001333292591609</v>
      </c>
      <c r="E29" s="7">
        <v>1.1338308105751076E-3</v>
      </c>
      <c r="F29" s="7">
        <v>0.33064463689046081</v>
      </c>
      <c r="G29" s="7">
        <v>0.2987240904715594</v>
      </c>
      <c r="H29" s="7">
        <v>87493.65712038381</v>
      </c>
      <c r="I29" s="7">
        <v>6952.760741635926</v>
      </c>
      <c r="J29" s="7">
        <v>3608265.331856722</v>
      </c>
      <c r="K29" s="7">
        <v>2968843.0992996925</v>
      </c>
    </row>
    <row r="30" spans="1:11" ht="16">
      <c r="A30" s="35"/>
      <c r="B30" s="6" t="s">
        <v>82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ht="16">
      <c r="A31" s="36"/>
      <c r="B31" s="6" t="s">
        <v>83</v>
      </c>
      <c r="C31" s="7">
        <v>0.12850223919863088</v>
      </c>
      <c r="D31" s="7">
        <v>4.1906767618534078</v>
      </c>
      <c r="E31" s="7">
        <v>6.5542018615775524</v>
      </c>
      <c r="F31" s="7">
        <v>0.94695965051654929</v>
      </c>
      <c r="G31" s="7">
        <v>3.0663839399008741</v>
      </c>
      <c r="H31" s="7">
        <v>737964.53</v>
      </c>
      <c r="I31" s="7">
        <v>40191002.899999999</v>
      </c>
      <c r="J31" s="7">
        <v>10334000</v>
      </c>
      <c r="K31" s="7">
        <v>20865602.32296636</v>
      </c>
    </row>
    <row r="32" spans="1:11" ht="16">
      <c r="A32" s="34" t="s">
        <v>84</v>
      </c>
      <c r="B32" s="6" t="s">
        <v>85</v>
      </c>
      <c r="C32" s="7">
        <v>3.7941465588655042E-2</v>
      </c>
      <c r="D32" s="7">
        <v>1.0893104024469564</v>
      </c>
      <c r="E32" s="7">
        <v>1.8131960810972723</v>
      </c>
      <c r="F32" s="7">
        <v>2.8178574304809882</v>
      </c>
      <c r="G32" s="7">
        <v>3.4830719970566504</v>
      </c>
      <c r="H32" s="7">
        <v>217890.80093276154</v>
      </c>
      <c r="I32" s="7">
        <v>11118694.616480546</v>
      </c>
      <c r="J32" s="7">
        <v>30750770.289638259</v>
      </c>
      <c r="K32" s="7">
        <v>27297506.047855347</v>
      </c>
    </row>
    <row r="33" spans="1:11" ht="16">
      <c r="A33" s="35"/>
      <c r="B33" s="6" t="s">
        <v>86</v>
      </c>
      <c r="C33" s="7">
        <v>3.2808596743827598E-3</v>
      </c>
      <c r="D33" s="7">
        <v>0.26403451703148373</v>
      </c>
      <c r="E33" s="7">
        <v>9.5478160986503399E-2</v>
      </c>
      <c r="F33" s="7">
        <v>1.0243164260229369</v>
      </c>
      <c r="G33" s="7">
        <v>1.2425874129144814</v>
      </c>
      <c r="H33" s="7">
        <v>18841.368700660139</v>
      </c>
      <c r="I33" s="7">
        <v>585481.36388518207</v>
      </c>
      <c r="J33" s="7">
        <v>11178180.549453136</v>
      </c>
      <c r="K33" s="7">
        <v>9771129.0321302414</v>
      </c>
    </row>
    <row r="34" spans="1:11" ht="16">
      <c r="A34" s="35"/>
      <c r="B34" s="6" t="s">
        <v>87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</row>
    <row r="35" spans="1:11" ht="16">
      <c r="A35" s="35"/>
      <c r="B35" s="6" t="s">
        <v>88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</row>
    <row r="36" spans="1:11" ht="16">
      <c r="A36" s="35"/>
      <c r="B36" s="6" t="s">
        <v>89</v>
      </c>
      <c r="C36" s="7">
        <v>1.3294466466694762E-5</v>
      </c>
      <c r="D36" s="7">
        <v>1.5486787367650556</v>
      </c>
      <c r="E36" s="7">
        <v>0</v>
      </c>
      <c r="F36" s="7">
        <v>9.3941320711142307E-2</v>
      </c>
      <c r="G36" s="7">
        <v>8.5843927156027179E-4</v>
      </c>
      <c r="H36" s="7">
        <v>76.347655565208925</v>
      </c>
      <c r="I36" s="7">
        <v>0</v>
      </c>
      <c r="J36" s="7">
        <v>1025164.7023179884</v>
      </c>
      <c r="K36" s="7">
        <v>9396.0062753098191</v>
      </c>
    </row>
    <row r="37" spans="1:11" ht="16">
      <c r="A37" s="35"/>
      <c r="B37" s="6" t="s">
        <v>90</v>
      </c>
      <c r="C37" s="7">
        <v>1.6388071921544491E-2</v>
      </c>
      <c r="D37" s="7">
        <v>3.58491724566976</v>
      </c>
      <c r="E37" s="7">
        <v>0</v>
      </c>
      <c r="F37" s="7">
        <v>0.28539440599426552</v>
      </c>
      <c r="G37" s="7">
        <v>0.45713947626935397</v>
      </c>
      <c r="H37" s="7">
        <v>94113.658007895865</v>
      </c>
      <c r="I37" s="7">
        <v>0</v>
      </c>
      <c r="J37" s="7">
        <v>3114457.7173229815</v>
      </c>
      <c r="K37" s="7">
        <v>3917662.9742781851</v>
      </c>
    </row>
    <row r="38" spans="1:11" ht="16">
      <c r="A38" s="35"/>
      <c r="B38" s="6" t="s">
        <v>91</v>
      </c>
      <c r="C38" s="7">
        <v>0</v>
      </c>
      <c r="D38" s="7">
        <v>0</v>
      </c>
      <c r="E38" s="7">
        <v>0.75026371474720066</v>
      </c>
      <c r="F38" s="7">
        <v>0.88092344111050458</v>
      </c>
      <c r="G38" s="7">
        <v>0.92991881857463576</v>
      </c>
      <c r="H38" s="7">
        <v>0</v>
      </c>
      <c r="I38" s="7">
        <v>4600690.026338567</v>
      </c>
      <c r="J38" s="7">
        <v>9613358.7481474858</v>
      </c>
      <c r="K38" s="7">
        <v>7004698.2292534644</v>
      </c>
    </row>
    <row r="39" spans="1:11" ht="16">
      <c r="A39" s="36"/>
      <c r="B39" s="6" t="s">
        <v>92</v>
      </c>
      <c r="C39" s="7">
        <v>1.8259239526261094E-2</v>
      </c>
      <c r="D39" s="7">
        <v>2.1416758238879177</v>
      </c>
      <c r="E39" s="7">
        <v>0.9674542053635683</v>
      </c>
      <c r="F39" s="7">
        <v>0.53328183664213891</v>
      </c>
      <c r="G39" s="7">
        <v>0.85256785002661883</v>
      </c>
      <c r="H39" s="7">
        <v>104859.42656864032</v>
      </c>
      <c r="I39" s="7">
        <v>5932523.2262567971</v>
      </c>
      <c r="J39" s="7">
        <v>5819608.5723966686</v>
      </c>
      <c r="K39" s="7">
        <v>6594619.805918145</v>
      </c>
    </row>
    <row r="40" spans="1:11" ht="16">
      <c r="A40" s="6" t="s">
        <v>93</v>
      </c>
      <c r="B40" s="6" t="s">
        <v>43</v>
      </c>
      <c r="C40" s="7">
        <v>4.7104329609971166E-3</v>
      </c>
      <c r="D40" s="7">
        <v>0.23068755574265515</v>
      </c>
      <c r="E40" s="7">
        <v>2.1550754893535289</v>
      </c>
      <c r="F40" s="7">
        <v>2.3777449553454191</v>
      </c>
      <c r="G40" s="7">
        <v>2.0419102997700787</v>
      </c>
      <c r="H40" s="7">
        <v>27051.142982695837</v>
      </c>
      <c r="I40" s="7">
        <v>13215132.379441094</v>
      </c>
      <c r="J40" s="7">
        <v>25947902.16788666</v>
      </c>
      <c r="K40" s="7">
        <v>16452669.81469165</v>
      </c>
    </row>
    <row r="41" spans="1:11" ht="16">
      <c r="A41" s="34" t="s">
        <v>94</v>
      </c>
      <c r="B41" s="6" t="s">
        <v>95</v>
      </c>
      <c r="C41" s="7">
        <v>-0.75501097316340982</v>
      </c>
      <c r="D41" s="7">
        <v>-10.080829354091804</v>
      </c>
      <c r="E41" s="7">
        <v>-9.6719331967670463</v>
      </c>
      <c r="F41" s="7">
        <v>-5.3885904557902418</v>
      </c>
      <c r="G41" s="7">
        <v>-7.4895720048762771</v>
      </c>
      <c r="H41" s="7">
        <v>-4335888.0081002871</v>
      </c>
      <c r="I41" s="7">
        <v>-59309234.498662084</v>
      </c>
      <c r="J41" s="7">
        <v>-58804716.483707435</v>
      </c>
      <c r="K41" s="7">
        <v>-59066654.257708035</v>
      </c>
    </row>
    <row r="42" spans="1:11" ht="16">
      <c r="A42" s="35"/>
      <c r="B42" s="6" t="s">
        <v>96</v>
      </c>
      <c r="C42" s="7">
        <v>-0.17230340378673728</v>
      </c>
      <c r="D42" s="7">
        <v>-2.5542391013266754</v>
      </c>
      <c r="E42" s="7">
        <v>-9.5071636559697321</v>
      </c>
      <c r="F42" s="7">
        <v>-4.9222769350915589</v>
      </c>
      <c r="G42" s="7">
        <v>-6.7457820881859751</v>
      </c>
      <c r="H42" s="7">
        <v>-989506.49565205828</v>
      </c>
      <c r="I42" s="7">
        <v>-58298851.658481665</v>
      </c>
      <c r="J42" s="7">
        <v>-53715921.073816873</v>
      </c>
      <c r="K42" s="7">
        <v>-53064109.32688421</v>
      </c>
    </row>
    <row r="43" spans="1:11" ht="16">
      <c r="A43" s="36"/>
      <c r="B43" s="6" t="s">
        <v>97</v>
      </c>
      <c r="C43" s="7">
        <v>-0.58270756937667256</v>
      </c>
      <c r="D43" s="7">
        <v>-78.34303158741254</v>
      </c>
      <c r="E43" s="7">
        <v>-0.16476954079731451</v>
      </c>
      <c r="F43" s="7">
        <v>-0.46631352069868315</v>
      </c>
      <c r="G43" s="7">
        <v>-0.74378991669030181</v>
      </c>
      <c r="H43" s="7">
        <v>-3346381.5124482294</v>
      </c>
      <c r="I43" s="7">
        <v>-1010382.8401804219</v>
      </c>
      <c r="J43" s="7">
        <v>-5088795.409890567</v>
      </c>
      <c r="K43" s="7">
        <v>-6002544.9308238244</v>
      </c>
    </row>
    <row r="44" spans="1:11" ht="16">
      <c r="A44" s="6" t="s">
        <v>98</v>
      </c>
      <c r="B44" s="6" t="s">
        <v>98</v>
      </c>
      <c r="C44" s="7">
        <v>3.1902086677367576</v>
      </c>
      <c r="D44" s="7">
        <v>3.1902086677367576</v>
      </c>
      <c r="E44" s="7">
        <v>100</v>
      </c>
      <c r="F44" s="7">
        <v>100</v>
      </c>
      <c r="G44" s="7">
        <v>100</v>
      </c>
      <c r="H44" s="7">
        <v>18320776.780000001</v>
      </c>
      <c r="I44" s="7">
        <v>613209720.25</v>
      </c>
      <c r="J44" s="7">
        <v>1091281977.47</v>
      </c>
      <c r="K44" s="7">
        <v>806663249.9563303</v>
      </c>
    </row>
  </sheetData>
  <mergeCells count="11">
    <mergeCell ref="I1:K1"/>
    <mergeCell ref="A4:A11"/>
    <mergeCell ref="A12:A31"/>
    <mergeCell ref="A32:A39"/>
    <mergeCell ref="A41:A43"/>
    <mergeCell ref="A1:A3"/>
    <mergeCell ref="B1:B3"/>
    <mergeCell ref="C1:C2"/>
    <mergeCell ref="D1:D2"/>
    <mergeCell ref="E1:G1"/>
    <mergeCell ref="H1:H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A07B5-850E-42B5-A169-D82A3103E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组合信息</vt:lpstr>
      <vt:lpstr>净值序列</vt:lpstr>
      <vt:lpstr>仓位序列</vt:lpstr>
      <vt:lpstr>产品序列</vt:lpstr>
      <vt:lpstr>权益分布行业</vt:lpstr>
      <vt:lpstr>业绩归因图</vt:lpstr>
      <vt:lpstr>业绩归因1</vt:lpstr>
      <vt:lpstr>业绩归因2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李翰林</dc:creator>
  <cp:lastModifiedBy>HANLIN LI</cp:lastModifiedBy>
  <dcterms:created xsi:type="dcterms:W3CDTF">2024-11-27T01:41:25Z</dcterms:created>
  <dcterms:modified xsi:type="dcterms:W3CDTF">2025-11-02T05:39:35Z</dcterms:modified>
</cp:coreProperties>
</file>